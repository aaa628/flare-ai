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BASS\"/>
    </mc:Choice>
  </mc:AlternateContent>
  <bookViews>
    <workbookView xWindow="120" yWindow="915" windowWidth="19020" windowHeight="11085"/>
  </bookViews>
  <sheets>
    <sheet name="as run matrix" sheetId="1" r:id="rId1"/>
    <sheet name="2012" sheetId="4" r:id="rId2"/>
    <sheet name="2013" sheetId="5" r:id="rId3"/>
    <sheet name="Data without TP" sheetId="2" r:id="rId4"/>
    <sheet name="TP without Data" sheetId="3" r:id="rId5"/>
  </sheets>
  <definedNames>
    <definedName name="_xlnm._FilterDatabase" localSheetId="0" hidden="1">'as run matrix'!$D$1:$D$134</definedName>
  </definedNames>
  <calcPr calcId="152511" concurrentCalc="0"/>
</workbook>
</file>

<file path=xl/calcChain.xml><?xml version="1.0" encoding="utf-8"?>
<calcChain xmlns="http://schemas.openxmlformats.org/spreadsheetml/2006/main">
  <c r="AC84" i="4" l="1"/>
  <c r="AB84" i="4"/>
  <c r="AC83" i="4"/>
  <c r="AB83" i="4"/>
  <c r="AC82" i="4"/>
  <c r="AB82" i="4"/>
  <c r="AC81" i="4"/>
  <c r="AB81" i="4"/>
  <c r="AC80" i="4"/>
  <c r="AB80" i="4"/>
  <c r="AC79" i="4"/>
  <c r="AB79" i="4"/>
  <c r="AC78" i="4"/>
  <c r="AB78" i="4"/>
  <c r="AC77" i="4"/>
  <c r="AB77" i="4"/>
  <c r="AC76" i="4"/>
  <c r="AB76" i="4"/>
  <c r="AC75" i="4"/>
  <c r="AB75" i="4"/>
  <c r="AC74" i="4"/>
  <c r="AB74" i="4"/>
  <c r="AC73" i="4"/>
  <c r="AB73" i="4"/>
  <c r="AC72" i="4"/>
  <c r="AB72" i="4"/>
  <c r="AC71" i="4"/>
  <c r="AB71" i="4"/>
  <c r="AC70" i="4"/>
  <c r="AB70" i="4"/>
  <c r="AC68" i="4"/>
  <c r="AB68" i="4"/>
  <c r="AC67" i="4"/>
  <c r="AB67" i="4"/>
  <c r="AC66" i="4"/>
  <c r="AB66" i="4"/>
  <c r="AC65" i="4"/>
  <c r="AB65" i="4"/>
  <c r="AC64" i="4"/>
  <c r="AB64" i="4"/>
  <c r="AC63" i="4"/>
  <c r="AB63" i="4"/>
  <c r="AC62" i="4"/>
  <c r="AB62" i="4"/>
  <c r="AC61" i="4"/>
  <c r="AB61" i="4"/>
  <c r="AC60" i="4"/>
  <c r="AB60" i="4"/>
  <c r="AC59" i="4"/>
  <c r="AB59" i="4"/>
  <c r="AC58" i="4"/>
  <c r="AB58" i="4"/>
  <c r="AC57" i="4"/>
  <c r="AB57" i="4"/>
  <c r="AC56" i="4"/>
  <c r="AB56" i="4"/>
  <c r="AC55" i="4"/>
  <c r="AB55" i="4"/>
  <c r="AC54" i="4"/>
  <c r="AB54" i="4"/>
  <c r="AC53" i="4"/>
  <c r="AB53" i="4"/>
  <c r="AC52" i="4"/>
  <c r="AB52" i="4"/>
  <c r="AC51" i="4"/>
  <c r="AB51" i="4"/>
  <c r="AC50" i="4"/>
  <c r="AB50" i="4"/>
  <c r="AC49" i="4"/>
  <c r="AB49" i="4"/>
  <c r="AC48" i="4"/>
  <c r="AB48" i="4"/>
  <c r="AC47" i="4"/>
  <c r="AB47" i="4"/>
  <c r="AC46" i="4"/>
  <c r="AB46" i="4"/>
  <c r="AC45" i="4"/>
  <c r="AB45" i="4"/>
  <c r="AC44" i="4"/>
  <c r="AB44" i="4"/>
  <c r="AC43" i="4"/>
  <c r="AB43" i="4"/>
  <c r="AC42" i="4"/>
  <c r="AB42" i="4"/>
  <c r="AC41" i="4"/>
  <c r="AB41" i="4"/>
  <c r="AC40" i="4"/>
  <c r="AB40" i="4"/>
  <c r="AC39" i="4"/>
  <c r="AB39" i="4"/>
  <c r="AC38" i="4"/>
  <c r="AB38" i="4"/>
  <c r="AC37" i="4"/>
  <c r="AB37" i="4"/>
  <c r="AC36" i="4"/>
  <c r="AB36" i="4"/>
  <c r="AC35" i="4"/>
  <c r="AB35" i="4"/>
  <c r="AC34" i="4"/>
  <c r="AB34" i="4"/>
  <c r="AC33" i="4"/>
  <c r="AB33" i="4"/>
  <c r="AC32" i="4"/>
  <c r="AB32" i="4"/>
  <c r="AC31" i="4"/>
  <c r="AB31" i="4"/>
  <c r="AC30" i="4"/>
  <c r="AB30" i="4"/>
  <c r="AC29" i="4"/>
  <c r="AB29" i="4"/>
  <c r="AC28" i="4"/>
  <c r="AB28" i="4"/>
  <c r="AC27" i="4"/>
  <c r="AB27" i="4"/>
  <c r="AC26" i="4"/>
  <c r="AB26" i="4"/>
  <c r="AC25" i="4"/>
  <c r="AB25" i="4"/>
  <c r="AC24" i="4"/>
  <c r="AB24" i="4"/>
  <c r="AC23" i="4"/>
  <c r="AB23" i="4"/>
  <c r="V22" i="4"/>
  <c r="V21" i="4"/>
  <c r="V20" i="4"/>
  <c r="V19" i="4"/>
  <c r="V18" i="4"/>
  <c r="AC17" i="4"/>
  <c r="AB17" i="4"/>
  <c r="AC16" i="4"/>
  <c r="AB16" i="4"/>
  <c r="AC15" i="4"/>
  <c r="AB15" i="4"/>
  <c r="AC14" i="4"/>
  <c r="AB14" i="4"/>
  <c r="AC13" i="4"/>
  <c r="AB13" i="4"/>
  <c r="AC12" i="4"/>
  <c r="AB12" i="4"/>
  <c r="AB84" i="1"/>
  <c r="AA84" i="1"/>
  <c r="AB83" i="1"/>
  <c r="AA83" i="1"/>
  <c r="AB82" i="1"/>
  <c r="AA82" i="1"/>
  <c r="AB81" i="1"/>
  <c r="AA81" i="1"/>
  <c r="AB80" i="1"/>
  <c r="AA80" i="1"/>
  <c r="AB79" i="1"/>
  <c r="AA79" i="1"/>
  <c r="AB78" i="1"/>
  <c r="AA78" i="1"/>
  <c r="AB77" i="1"/>
  <c r="AA77" i="1"/>
  <c r="AB76" i="1"/>
  <c r="AA76" i="1"/>
  <c r="AB75" i="1"/>
  <c r="AA75" i="1"/>
  <c r="AB74" i="1"/>
  <c r="AA74" i="1"/>
  <c r="AB73" i="1"/>
  <c r="AA73" i="1"/>
  <c r="AB72" i="1"/>
  <c r="AA72" i="1"/>
  <c r="AB71" i="1"/>
  <c r="AA71" i="1"/>
  <c r="AB70" i="1"/>
  <c r="AA70" i="1"/>
  <c r="AB68" i="1"/>
  <c r="AA68" i="1"/>
  <c r="AB67" i="1"/>
  <c r="AA67" i="1"/>
  <c r="AB66" i="1"/>
  <c r="AA66" i="1"/>
  <c r="AB65" i="1"/>
  <c r="AA65" i="1"/>
  <c r="AB64" i="1"/>
  <c r="AA64" i="1"/>
  <c r="AB63" i="1"/>
  <c r="AA63" i="1"/>
  <c r="AB62" i="1"/>
  <c r="AA62" i="1"/>
  <c r="AB61" i="1"/>
  <c r="AA61" i="1"/>
  <c r="AB60" i="1"/>
  <c r="AA60" i="1"/>
  <c r="AB59" i="1"/>
  <c r="AA59" i="1"/>
  <c r="AB58" i="1"/>
  <c r="AA58" i="1"/>
  <c r="AB57" i="1"/>
  <c r="AA57" i="1"/>
  <c r="AB56" i="1"/>
  <c r="AA56" i="1"/>
  <c r="AB55" i="1"/>
  <c r="AA55" i="1"/>
  <c r="AA14" i="1"/>
  <c r="AA13" i="1"/>
  <c r="AA12" i="1"/>
  <c r="AB54" i="1"/>
  <c r="AA54" i="1"/>
  <c r="AB53" i="1"/>
  <c r="AA53" i="1"/>
  <c r="AB52" i="1"/>
  <c r="AA52" i="1"/>
  <c r="AB51" i="1"/>
  <c r="AA51" i="1"/>
  <c r="AB50" i="1"/>
  <c r="AA50" i="1"/>
  <c r="AB49" i="1"/>
  <c r="AA49" i="1"/>
  <c r="AB48" i="1"/>
  <c r="AA48" i="1"/>
  <c r="AB47" i="1"/>
  <c r="AA47" i="1"/>
  <c r="AB46" i="1"/>
  <c r="AA46" i="1"/>
  <c r="AB45" i="1"/>
  <c r="AA45" i="1"/>
  <c r="AB44" i="1"/>
  <c r="AA44" i="1"/>
  <c r="AB43" i="1"/>
  <c r="AA43" i="1"/>
  <c r="AB42" i="1"/>
  <c r="AA42" i="1"/>
  <c r="AB41" i="1"/>
  <c r="AA41" i="1"/>
  <c r="AB40" i="1"/>
  <c r="AA40" i="1"/>
  <c r="AB39" i="1"/>
  <c r="AA39" i="1"/>
  <c r="AB38" i="1"/>
  <c r="AA38" i="1"/>
  <c r="AA37" i="1"/>
  <c r="AB37" i="1"/>
  <c r="AB36" i="1"/>
  <c r="AA36" i="1"/>
  <c r="AB35" i="1"/>
  <c r="AA35" i="1"/>
  <c r="AB34" i="1"/>
  <c r="AA34" i="1"/>
  <c r="AB33" i="1"/>
  <c r="AA33" i="1"/>
  <c r="AB32" i="1"/>
  <c r="AA32" i="1"/>
  <c r="AB31" i="1"/>
  <c r="AA31" i="1"/>
  <c r="AB30" i="1"/>
  <c r="AA30" i="1"/>
  <c r="AB29" i="1"/>
  <c r="AA29" i="1"/>
  <c r="AB28" i="1"/>
  <c r="AA28" i="1"/>
  <c r="AB27" i="1"/>
  <c r="AA27" i="1"/>
  <c r="AB26" i="1"/>
  <c r="AA26" i="1"/>
  <c r="AB25" i="1"/>
  <c r="AA25" i="1"/>
  <c r="AB24" i="1"/>
  <c r="AA24" i="1"/>
  <c r="AB23" i="1"/>
  <c r="AA23" i="1"/>
  <c r="U22" i="1"/>
  <c r="U21" i="1"/>
  <c r="U20" i="1"/>
  <c r="U19" i="1"/>
  <c r="U18" i="1"/>
  <c r="AA16" i="1"/>
  <c r="AB16" i="1"/>
  <c r="AA17" i="1"/>
  <c r="AB17" i="1"/>
  <c r="AB15" i="1"/>
  <c r="AA15" i="1"/>
  <c r="AB14" i="1"/>
  <c r="AB13" i="1"/>
  <c r="AB12" i="1"/>
</calcChain>
</file>

<file path=xl/sharedStrings.xml><?xml version="1.0" encoding="utf-8"?>
<sst xmlns="http://schemas.openxmlformats.org/spreadsheetml/2006/main" count="4120" uniqueCount="768">
  <si>
    <t>Setup</t>
  </si>
  <si>
    <t>material</t>
  </si>
  <si>
    <t>Test no.</t>
  </si>
  <si>
    <t>Sample no.</t>
  </si>
  <si>
    <t>Igniter</t>
  </si>
  <si>
    <t>Expt settings</t>
  </si>
  <si>
    <t>Flow restrictor</t>
  </si>
  <si>
    <t>Sample distance</t>
  </si>
  <si>
    <t>Fan display</t>
  </si>
  <si>
    <t>Radiometer display</t>
  </si>
  <si>
    <t>GN2 Pot</t>
  </si>
  <si>
    <t>GN2 display</t>
  </si>
  <si>
    <t>Air display</t>
  </si>
  <si>
    <t>Camera Settings</t>
  </si>
  <si>
    <t>Filter y/n</t>
  </si>
  <si>
    <t>shutter speed (1/s)</t>
  </si>
  <si>
    <t>F stop</t>
  </si>
  <si>
    <t>ISO</t>
  </si>
  <si>
    <t>SD card S/N</t>
  </si>
  <si>
    <t>total frames shot</t>
  </si>
  <si>
    <t>ISS environment</t>
  </si>
  <si>
    <t xml:space="preserve">Test Observations and Anomalies (ignited, spread, extinguished, burn time, color, etc.) </t>
  </si>
  <si>
    <t>Release Mode (CH/CL)</t>
  </si>
  <si>
    <t>Exposure Mode (M/A)</t>
  </si>
  <si>
    <t>Exposure compensation   (-#EV)</t>
  </si>
  <si>
    <t>Bracket frames and exposure bracket (#F/ 1.0)</t>
  </si>
  <si>
    <t>shutter hold s /cont</t>
  </si>
  <si>
    <t>BASS   Test  Matrix as Run</t>
  </si>
  <si>
    <t>90 - 11:10</t>
  </si>
  <si>
    <t>SIBAL 2 cm</t>
  </si>
  <si>
    <t>pre-wired</t>
  </si>
  <si>
    <t>90 - 12:02</t>
  </si>
  <si>
    <t>As run test no.</t>
  </si>
  <si>
    <t>PMMA sphere 2 cm</t>
  </si>
  <si>
    <t>PMMA sphere 1 cm</t>
  </si>
  <si>
    <t>2-1</t>
  </si>
  <si>
    <t>2-6</t>
  </si>
  <si>
    <t>farthest downstream</t>
  </si>
  <si>
    <t>66 &gt; 52 &gt; 45</t>
  </si>
  <si>
    <t>10, 5</t>
  </si>
  <si>
    <t>66 &gt; 52</t>
  </si>
  <si>
    <t>saturated</t>
  </si>
  <si>
    <t>~ 1.2 max</t>
  </si>
  <si>
    <t xml:space="preserve"> </t>
  </si>
  <si>
    <t>4.0 &gt; 8.0 &gt; max</t>
  </si>
  <si>
    <t>N</t>
  </si>
  <si>
    <t>CH</t>
  </si>
  <si>
    <t>A</t>
  </si>
  <si>
    <t>9F  1.0</t>
  </si>
  <si>
    <t>6 brackets</t>
  </si>
  <si>
    <t>9 brackets</t>
  </si>
  <si>
    <t>5 brackets</t>
  </si>
  <si>
    <t>Actual Date  (for SPICE Display Date, add 1 for Leap Year)</t>
  </si>
  <si>
    <t>10, 5, 3</t>
  </si>
  <si>
    <t>CO2, mm Hg</t>
  </si>
  <si>
    <t>pressure, atm</t>
  </si>
  <si>
    <t>O2 % by volume</t>
  </si>
  <si>
    <t>Radiometer gain ( 1000, 250, 50, 10)</t>
  </si>
  <si>
    <t>90 - 14:41</t>
  </si>
  <si>
    <t xml:space="preserve">66 &gt; 47 </t>
  </si>
  <si>
    <t>10, 3-4</t>
  </si>
  <si>
    <t>198 to 497</t>
  </si>
  <si>
    <t>n/a</t>
  </si>
  <si>
    <t>tbd best</t>
  </si>
  <si>
    <t>Don noted significant vapor jetting.   Flame not very long , but very sooty.  Don set up a 2nd still camera taking pictures 1/s at F7, Aperture priority, spot metering on center of sphere in brackets of 3. Don noted equatorial division between 'charred' front like coating on meterorites,  and matt black sooty rear hemispheres.  Broke igniter.  2 minute burn.</t>
  </si>
  <si>
    <t xml:space="preserve">Very bright sooty ball.   Lots of vapor jetting.   N2 on at 1 minute.   Blew off stagnation region but N2 did not extinguish wake,  even with air flow off.  Don turned off air, then N2 after some seconds.  Wake flame sooty and wind-blown.  Only extinguishes when all flow stops.  N2 is entraining air to flame zone.  Don noted that there was no soot on the sphere, just the 'char layer'.  ~ 2 minute total burn.  </t>
  </si>
  <si>
    <t>Nice symmetric burn, some soot at 10 cm/s,  Steady spreading, flame seems to reach a steady length.  Decreasing flow shrinks flame and changes to mostly blue, but still spreading.  Gets very dim near end of sample as it shrinks and extinguishes at burnout.  Don noted the fiberglass matrix was still intact after the burn.</t>
  </si>
  <si>
    <t>Y</t>
  </si>
  <si>
    <t xml:space="preserve"> best 1/25s 10 cm/s,    1/10s 5 cm/s</t>
  </si>
  <si>
    <t>96 13:00</t>
  </si>
  <si>
    <t>96 13:16:30</t>
  </si>
  <si>
    <t>100 9:25</t>
  </si>
  <si>
    <t>100 9:47</t>
  </si>
  <si>
    <t>100 10:04</t>
  </si>
  <si>
    <t>2-6?</t>
  </si>
  <si>
    <t>66</t>
  </si>
  <si>
    <t>52</t>
  </si>
  <si>
    <t>66 ign, 52 burn</t>
  </si>
  <si>
    <t>66 ign, 46 burn</t>
  </si>
  <si>
    <t>66, 47, 45, 43, 42</t>
  </si>
  <si>
    <t>10, 6</t>
  </si>
  <si>
    <t>10,2-3</t>
  </si>
  <si>
    <t>10, 1-2</t>
  </si>
  <si>
    <t>398 check only</t>
  </si>
  <si>
    <t>CL</t>
  </si>
  <si>
    <t>8.0 &gt; max</t>
  </si>
  <si>
    <t>9F 1.0</t>
  </si>
  <si>
    <t>cont</t>
  </si>
  <si>
    <t>47 flame</t>
  </si>
  <si>
    <t>65 flame</t>
  </si>
  <si>
    <t>80 (almost 9 brackets)</t>
  </si>
  <si>
    <t>100 flame</t>
  </si>
  <si>
    <t>~ 60 s burn,   Don  said he like to watch solid samples burn in space and it makes him appreciate that he wouldn't want to be be there in a real fire - it wouldn't be pretty.</t>
  </si>
  <si>
    <t>~ 40 s burn, Don asked if images were too saturated, Paul said OK. Don set up 2nd still camera for additional images.</t>
  </si>
  <si>
    <t>same sphere as previous.   Did not remove soot.   Don again has 2nd still camera set up.  Picked -4 ev for next test based on a quick scroll of these images.</t>
  </si>
  <si>
    <t>Filter on test.  Don didn't reset the camera trigger, so only got 100 frames.</t>
  </si>
  <si>
    <t>No filter on this test.  Don didn't reset the camera trigger, so only got 100 frames.  Very low flows possible (AIR reading 0) at FAN 42.  Apparent at end with N2 extinguishment.  Flame doesn't go out until fan goes to 38.</t>
  </si>
  <si>
    <t>N/A</t>
  </si>
  <si>
    <t>CONT</t>
  </si>
  <si>
    <t>123 10:33</t>
  </si>
  <si>
    <t>49 frames</t>
  </si>
  <si>
    <t>sample 18 and 19 mix up on names.  Logging actual sample barcode used here.  Grew from blue flame to sooty envelope flame.  To extinguish, turned  flow off,  and flame turned to blue sphere expanding upwind with a few soot particles.</t>
  </si>
  <si>
    <t>52 &gt; 43, 42</t>
  </si>
  <si>
    <t>6, 3-2, 1-0</t>
  </si>
  <si>
    <t>123 10:51</t>
  </si>
  <si>
    <t>Still a sooty flame even at 1 cm/s.  Turned blue and extinguished when fan off, lots of vapor jetting during extinguishment.  Lots of fuel vapor flushed out of duct when extinguished.</t>
  </si>
  <si>
    <t>78 frames</t>
  </si>
  <si>
    <t>100 frames</t>
  </si>
  <si>
    <t>42 &gt; 41, max, off</t>
  </si>
  <si>
    <t>1 , 0.5?, 26?</t>
  </si>
  <si>
    <t>123 11:13</t>
  </si>
  <si>
    <t>Burning laminar but sooty at 42, turned down very slowly to 41 and flame started to turn blue and vapor jet.  Turned fan to max, and flame did not blow off stagnation region.  Burning rate incredibly fast.  Turned off flow right when fuel completely ran out.  Don examined igniter and there is one thin spot, so may not last much longer.</t>
  </si>
  <si>
    <t>131:14:50</t>
  </si>
  <si>
    <t>SIBAL 1 cm</t>
  </si>
  <si>
    <t>Nomex blend 2 cm</t>
  </si>
  <si>
    <t>PMMA 2 cm</t>
  </si>
  <si>
    <t>wake</t>
  </si>
  <si>
    <t>2</t>
  </si>
  <si>
    <t>Approx Start Time ( with GMT)</t>
  </si>
  <si>
    <t>95</t>
  </si>
  <si>
    <t>2.37 max</t>
  </si>
  <si>
    <t>M</t>
  </si>
  <si>
    <t>F2</t>
  </si>
  <si>
    <t>38+9 dark</t>
  </si>
  <si>
    <t>62</t>
  </si>
  <si>
    <t>0.84 max</t>
  </si>
  <si>
    <t>111</t>
  </si>
  <si>
    <t>shutter 1/20 s</t>
  </si>
  <si>
    <t>shutter 1/8 s</t>
  </si>
  <si>
    <t>Huge ignition kernel, then rest of video very dim.  1 cm wide sample.  Don noted a flash on the top side late in test.</t>
  </si>
  <si>
    <t>75</t>
  </si>
  <si>
    <t>50?</t>
  </si>
  <si>
    <t>0.39 max during ing attempts</t>
  </si>
  <si>
    <t>same?</t>
  </si>
  <si>
    <t xml:space="preserve">62 </t>
  </si>
  <si>
    <t>Ignited and burned for only 2 s.  Died when igniter turned off.  Repeated re-ignition attempts failed.  Don didn't want it to burn since their flight suits are made of this stuff.  He felt like he should have left the igniter on longer.  Fan cal and GN2 cal  at ~16:00</t>
  </si>
  <si>
    <t>131:15:12</t>
  </si>
  <si>
    <t>131:15:36</t>
  </si>
  <si>
    <t>132:16:11</t>
  </si>
  <si>
    <t>F4</t>
  </si>
  <si>
    <t>?</t>
  </si>
  <si>
    <t>8, 10</t>
  </si>
  <si>
    <t>396.5, 495</t>
  </si>
  <si>
    <t>61, 40 late</t>
  </si>
  <si>
    <t>shutter 1/2 s</t>
  </si>
  <si>
    <t>49, 42</t>
  </si>
  <si>
    <t>0.8 ign, only about 0.2-0.3 during burn</t>
  </si>
  <si>
    <t>132:16:26</t>
  </si>
  <si>
    <t>No Don camera.  Wake flame very dim on video, all blue, spread very slowly upwind.  Ignited GBX time 16:14:44,  N2 on at 16:17:18,  did not extinguish, increased to pot 10, at 16:18:37,  N2 off at 16:19:19.  Accidentaly turned fan up briefly instead of N2.  Fan turned to 40 at 16:19:22, flame and flame went out at 16:19:34.  All times GBX.</t>
  </si>
  <si>
    <t>132:17:30</t>
  </si>
  <si>
    <t>49, 43, 41</t>
  </si>
  <si>
    <t>154</t>
  </si>
  <si>
    <t>max 0.77</t>
  </si>
  <si>
    <t>49, 41</t>
  </si>
  <si>
    <t>132: 17:49</t>
  </si>
  <si>
    <t>190</t>
  </si>
  <si>
    <t>7,  0 (slow)</t>
  </si>
  <si>
    <t>max 0.33</t>
  </si>
  <si>
    <t>readjusted igniter again.  Fan 41 at 17:54:20 ish.   Very dim blue flame. When he turned flow down to 40.5ish flame extinguished.</t>
  </si>
  <si>
    <t>103</t>
  </si>
  <si>
    <t>Adjusted igniter closer.  LOS  after fan change, 17:36 fan to 43. (MSG time). Came back at 17:39:40 or so.  Don described it as flame was taking off growing around sphere,  LE blue, trailing soot.  Illuminating circumference of sphere.  Vapor jetting just starting to do that when turned off fan, and it extinguished right away.  MSG playback started at 17:37 during session (1:27 into downlink video).</t>
  </si>
  <si>
    <t xml:space="preserve">max 0.94 </t>
  </si>
  <si>
    <t xml:space="preserve">6, 3.5 </t>
  </si>
  <si>
    <t>49, 86</t>
  </si>
  <si>
    <t>132:18:07</t>
  </si>
  <si>
    <t>6.5, 21</t>
  </si>
  <si>
    <t>2.15 at LOS</t>
  </si>
  <si>
    <t>217 total</t>
  </si>
  <si>
    <t>233</t>
  </si>
  <si>
    <t>PMMA 1 cm</t>
  </si>
  <si>
    <t>49</t>
  </si>
  <si>
    <t>wake, same one</t>
  </si>
  <si>
    <t>difficult to ignite,very dim blue, got some soot at 16:33:51 gbx time,   N2 on at 34:18,    soot faded a bit, still have a pimple of soot,  N2 off at 34:48, fan 42:35:04, all blue flame again, like blue crescent moon.  Fan off at 35:30 ish.  Flame extinuishes right away.  Don noted no soot deposition on the sphere.  Just has bubbles.</t>
  </si>
  <si>
    <t>157:14:11</t>
  </si>
  <si>
    <t>76 incl dark frames</t>
  </si>
  <si>
    <t>157:14:28</t>
  </si>
  <si>
    <t>6, 2</t>
  </si>
  <si>
    <t xml:space="preserve">A </t>
  </si>
  <si>
    <t>78</t>
  </si>
  <si>
    <t>new 1 cm sphere. Got sooty quickly,  overexposed still images on main SLR camera.  Don has 2nd bonus camera set up too.,   Burned about 3 min.   Turbulent vapor jetting, quite sooty.  Change camera settings for next test.</t>
  </si>
  <si>
    <t>ignited within 15 s (still hot?),   sooting by 35 s, fully engulfed by ~ 1 min.   Extinguished when pot ~ 39.  Camera settings much better.</t>
  </si>
  <si>
    <t>50</t>
  </si>
  <si>
    <t>157:15:33</t>
  </si>
  <si>
    <t>Don says sphere is ~ 0.7 cm.   Igniter has hot spot. Bar code 015M.  Nice images.  All blue sphere just before extinction.</t>
  </si>
  <si>
    <t>157:15:48</t>
  </si>
  <si>
    <t>5, 0</t>
  </si>
  <si>
    <t>49, 41&gt;40.5ish</t>
  </si>
  <si>
    <t>1-1</t>
  </si>
  <si>
    <t>1-3</t>
  </si>
  <si>
    <t>2-4</t>
  </si>
  <si>
    <t>3-3</t>
  </si>
  <si>
    <t>3-5</t>
  </si>
  <si>
    <t>Igniter too far away 2st attempt 15:48. Igniter broke on 2nd attempt 15:51.   New igiter.  Ignited at 16:05 turned flow down to ~40.5 ish, and flame got very spherical, alternating blue and orange?(filter on)</t>
  </si>
  <si>
    <t>wake 3-2?</t>
  </si>
  <si>
    <t>wake, new igniter 3-5?</t>
  </si>
  <si>
    <t>12-R</t>
  </si>
  <si>
    <t>radjusted pre-installed igniter</t>
  </si>
  <si>
    <t>60</t>
  </si>
  <si>
    <t>preheated by briefly heating igniter wire then hitting it full,   did not ignite but smoked .  He said it popped up about 1 mm due to residueal spring tension.  Will readjust it again.</t>
  </si>
  <si>
    <t>157: 17:34</t>
  </si>
  <si>
    <t>12-R2</t>
  </si>
  <si>
    <t>97</t>
  </si>
  <si>
    <t>157: 17:40</t>
  </si>
  <si>
    <t>12 pulses and then on, no joy. Not even much smoke.</t>
  </si>
  <si>
    <t>2 cm sphere</t>
  </si>
  <si>
    <t>4, 25 mm from downstream most position</t>
  </si>
  <si>
    <t>60, 41, 60, 42,41</t>
  </si>
  <si>
    <t>9.5, 0</t>
  </si>
  <si>
    <t>1.5 cm from downstream</t>
  </si>
  <si>
    <t>270</t>
  </si>
  <si>
    <t>0</t>
  </si>
  <si>
    <t>92</t>
  </si>
  <si>
    <t>295, incl dark frames, 200?</t>
  </si>
  <si>
    <t>60,42,41</t>
  </si>
  <si>
    <t>60, 42,41</t>
  </si>
  <si>
    <t>163:11:59</t>
  </si>
  <si>
    <t>sphere closer to nozzle. New igniter.  1st ign, flame died when turned down to 41, flickering to 40.   2nd ignition flame stabilized at 42 then 41.  grew to stokes flow envelope flame, N2 blew out stag region but flame remained side stabilized,   long burn , extinguished when flow is turned off.  Mostly blue, strenthening near end.  Still images have stag region out of fov, and only part of sample was burning?  Don commented on unusual soot pattern - waje still pristine, stagnation zone has discrete large opaque bubbles.</t>
  </si>
  <si>
    <t xml:space="preserve">moved sphere 1 cm downstream, readjusted igniter.  Repeat of previous test.  (Flame from GMT 15:05:30 to 15:10:50) Don adjusted sphere by sliding 1 cm downstream so the camera could capture the entire flame.  
Ignition at 9 cm/s (FAN 60), reduced FAN indication to 42, then slowly to 41.  Turned nitrogen on full; flame opened up and became side stabilized.  Turned nitrogen off to allow flame to spread back to stagnation point.  Then slowly turned off flow.  Flame had only minimal amounts of soot, coinciding with bubble jetting.
</t>
  </si>
  <si>
    <t>163:15:05</t>
  </si>
  <si>
    <t>9, 0</t>
  </si>
  <si>
    <t xml:space="preserve"> Flame from GMT 15:30:00 to 15:33:00) Ignition at 9 cm/s (FAN 60) then set FAN to 42, then slowly to 41.  After several minutes, shut flow off.  Fan was nice and blue and fairly stable.  Unfortunately, Don did not trigger the 35mm camera properly so there were no top images. But he did say he got images with his side view camera.
</t>
  </si>
  <si>
    <t>163: 15:30</t>
  </si>
  <si>
    <t>(Flame from GMT 15:44:30 to 15:47:10) Ignition at 9 cm/s (FAN 60) then set FAN to 42, then slowly to 41.  After several minutes, shut flow off.  Flame became very dim blue before extinguishing.  Don’s observation: “There was a swelling action with the PMMA in which the fuel vapor coming from the sphere makes the flame swell.”</t>
  </si>
  <si>
    <t>163:15:44</t>
  </si>
  <si>
    <t>1 cm sphere</t>
  </si>
  <si>
    <t>4, modified to 15 mm from downstream</t>
  </si>
  <si>
    <t>99 + 9 dark + 1 =109</t>
  </si>
  <si>
    <t>60, 42</t>
  </si>
  <si>
    <t>9.75, 0</t>
  </si>
  <si>
    <t>166:16:41</t>
  </si>
  <si>
    <t>10, 0</t>
  </si>
  <si>
    <t>ignited at 10 cm/s, fan to 42,   less vapor jetting noted, bullet shaped flame, sooty.   Fan to 41, similar, slightly smaller flame.    Fan off flame all blue and pulses a few times before extinguished.  Jay saw cloud go by when he turned on fan at GMT 17:12 ish.</t>
  </si>
  <si>
    <t>93</t>
  </si>
  <si>
    <t>166:17:10</t>
  </si>
  <si>
    <t>166:17:26</t>
  </si>
  <si>
    <t>43</t>
  </si>
  <si>
    <t>38</t>
  </si>
  <si>
    <t xml:space="preserve">adjusted igniter, start at 60, ignite, fan to 42, N2 on max, did not blow out even leading edge, N2 and air off, turned all blue, he turned lights on before flame completely out.  42 digital images, last one shows blue spherical flame with finger of soot through it.   Oly about 1 mm x 3 mm left around rod. </t>
  </si>
  <si>
    <t>166:16:38</t>
  </si>
  <si>
    <t>42</t>
  </si>
  <si>
    <t>2, upstream</t>
  </si>
  <si>
    <t>Joe 1st day, ignited at 9.75 cm/s,  flame mostly envelope by end of ignition, turned flow slowly to 42, so lots of vapor jetting and soot.   At fan off, flame turns blue, and oscilates before extinction.</t>
  </si>
  <si>
    <t xml:space="preserve"> adjusted igniter, ignited at 43,  he started to turn fan down when fuel ran out and flame extinguished.</t>
  </si>
  <si>
    <t>51, 46, 0</t>
  </si>
  <si>
    <t>6, 4, 9</t>
  </si>
  <si>
    <t>179 (with 9 dark frames)</t>
  </si>
  <si>
    <t>170:15:17</t>
  </si>
  <si>
    <t>2 upstream</t>
  </si>
  <si>
    <t>51, 64, 0</t>
  </si>
  <si>
    <t>6.5, 11, 0</t>
  </si>
  <si>
    <t>sooty at 1:15 , 4 minute burn, got long sooty tail, didn't quite wrap around to stag zone,  nice symmetric flame, over the shoulder view shows nice image of flame through msg window.</t>
  </si>
  <si>
    <t>165</t>
  </si>
  <si>
    <t>170:15:40</t>
  </si>
  <si>
    <t>51, 42</t>
  </si>
  <si>
    <t>247</t>
  </si>
  <si>
    <t>7, 2, 0</t>
  </si>
  <si>
    <t>170:15:58</t>
  </si>
  <si>
    <t>started all blue, got sooty tail , wrapped all the way around to stagnation region/envelope flame  at ~6 minutes, then flow off goes out.  Nice long test. Could see it in over the shoulder view once it got sooty.</t>
  </si>
  <si>
    <t>170:16:37</t>
  </si>
  <si>
    <t>51,42</t>
  </si>
  <si>
    <t>6.5, 2</t>
  </si>
  <si>
    <t>251</t>
  </si>
  <si>
    <t>Joe, multiops procedures.  Nice over the shoulder view.  Ignited quickly, all blue, spread slowly upstream.  Got sooty at 3.5 minutes, burned for ~ 4.75 min.  Not wrapped all the way.</t>
  </si>
  <si>
    <t>3-5, wake</t>
  </si>
  <si>
    <t>Ignited and turned flow down, then N2 on while flame was small and blue.    Flame did not go out completely, but only seemed to spread on the top side of the video view.  It wrapped around quite far on top, but not quite to stag. Region.  Turned N2 off and flame grew and got sottier.  Extinguished with flow off at6.75 minutes or so.  Joe asked about why N2 didn't put out flame.</t>
  </si>
  <si>
    <t>shutter 1/4</t>
  </si>
  <si>
    <t>Nomex III Natural</t>
  </si>
  <si>
    <t>50, 46, 42,41</t>
  </si>
  <si>
    <t xml:space="preserve">5.75, </t>
  </si>
  <si>
    <t>180:16:10</t>
  </si>
  <si>
    <t>1, downstream end</t>
  </si>
  <si>
    <t>74</t>
  </si>
  <si>
    <t>92 (incl 9 dark frames)</t>
  </si>
  <si>
    <t>63</t>
  </si>
  <si>
    <t>180:16:33</t>
  </si>
  <si>
    <t>PMMA slab</t>
  </si>
  <si>
    <t>manual to get ignition at upstream edge of video view</t>
  </si>
  <si>
    <t>ignited and left igniter on until flame spread away.    Flame propagated to ~ 1 cm of end.   Don showed  image of it, spread only in center of sample, maybe 1 cm wide, and got narrower once igniter was off.   Don says he saw smoke stream (laminar) from igniter diverts upward around flame and comes back down downstream.  Showed image at GMT 16:41.  Playback of stills.</t>
  </si>
  <si>
    <t>ignite at 5 cm/s, reduce to 3, 1.5, 1.  Extinguished at fan 41, became circular at extinction, sphere shrank to extinction.  About 2.5 cm left, could use for an opposed flow test.  Sample 9 used instead of sample 8.  Playback of stills.</t>
  </si>
  <si>
    <t>180:17:29</t>
  </si>
  <si>
    <t>62, 46</t>
  </si>
  <si>
    <t>10, 4</t>
  </si>
  <si>
    <t>Ignition was very quick, and very sooty.  Flame wrapped around stagnation zone,   Lots of vapor jetting.  Turned flow to 46, turned all blue and vapor jetting fades away.  Flame seems to reach a ss size, and propagates very slowly downstream (base burnout).     Flame extinguished all by itself.   Top view image playback showed nearly spherical blue flame.  SAmple has sooty streak downstream all along sample.  Don examined sample,  2-3 mm of material completely consumed,   Circular burnout base, and then depression (like fingernail scrape) about 12-13 mm downstream before full cross section of fuel.</t>
  </si>
  <si>
    <t>180: 17:51</t>
  </si>
  <si>
    <t>55</t>
  </si>
  <si>
    <t>239, incl 1 test shot</t>
  </si>
  <si>
    <t>3-5 ? Wake</t>
  </si>
  <si>
    <t>Igniter seems to have broken prior to ignition.  No, 1 ohm resistance is still there.  Don trying again.  No go. A different igniter works, so igniter is broken.  No useful digital stills.</t>
  </si>
  <si>
    <t>41.5</t>
  </si>
  <si>
    <t>Ign at low flow (41.5 fan, ~ 1 cm/s).  Quite spread by end of ignition, very dim blue.   Became sooty and then vapor jetting very strongly, creating large dark particulate blobs that drift very slwoly downstream.  Once fuel heated, vapor jetting was reduced.  N2 on and flame brightened and stabilized, extinction when air flow off.  Don played back videos and commented on vortex rings during vapor jetting at these low flows.</t>
  </si>
  <si>
    <t>41</t>
  </si>
  <si>
    <t>181:9:19</t>
  </si>
  <si>
    <t>6/29/`12</t>
  </si>
  <si>
    <t>181:9:55</t>
  </si>
  <si>
    <t>197 incl 9 dark frames, maybe an extra shot too</t>
  </si>
  <si>
    <t>51</t>
  </si>
  <si>
    <t>long ignition, fully engulfed by the end.  Very slow flow, not much vapor jetting.   Burned out completely.</t>
  </si>
  <si>
    <t>ultem sheet</t>
  </si>
  <si>
    <t>1,  downstream</t>
  </si>
  <si>
    <t>1/8 s shutter</t>
  </si>
  <si>
    <t>181:10:16</t>
  </si>
  <si>
    <t>just smoked slightly, no ignition.</t>
  </si>
  <si>
    <t>5b</t>
  </si>
  <si>
    <t xml:space="preserve">SIBAL 2 cm, opposed flow </t>
  </si>
  <si>
    <t xml:space="preserve">3-5 </t>
  </si>
  <si>
    <t>1/4 s shutter</t>
  </si>
  <si>
    <t>27</t>
  </si>
  <si>
    <t>181:10:48</t>
  </si>
  <si>
    <t>Using preburned sample in opposed flow config to see if flame will spread upstream.  Ignited and spread a bit on top side only,  seemed to quench 5 mm from the end.  Curved flame leading edge.   Don's last run.   He had some nice words about the hands-on features of these combustion experiments.</t>
  </si>
  <si>
    <t>bonus test.  LOS partway through burn. Don instructed to let it burn about 2 minutes then turn fan off.  Did not get playback during session.   Requested it. Fan cal done at end of session.   Playback occurred GMT 181:11:12. Started out all blue, got a pimple of soot.     Long sooty tail at high flow.  Extinguished when flow turned off.</t>
  </si>
  <si>
    <t>46</t>
  </si>
  <si>
    <t>5, opposed flow</t>
  </si>
  <si>
    <t>185:8:46</t>
  </si>
  <si>
    <t>92 incl dark frames</t>
  </si>
  <si>
    <t>62, 50</t>
  </si>
  <si>
    <t>candle</t>
  </si>
  <si>
    <t>opposed flow flame test,  steady spread at 9 cm/s! started turning down flow late, but didn't complete change before burned out whole sample.  This doesn't burn in 1g like this.</t>
  </si>
  <si>
    <t xml:space="preserve">62, 55, 47, 42, 40 </t>
  </si>
  <si>
    <t>185:9:08</t>
  </si>
  <si>
    <t>162</t>
  </si>
  <si>
    <t>82a</t>
  </si>
  <si>
    <t>1 downstream</t>
  </si>
  <si>
    <t>185:9:34</t>
  </si>
  <si>
    <t>52,42, 41,40</t>
  </si>
  <si>
    <t>116</t>
  </si>
  <si>
    <t>BG-7 filter on camera for bracketing set.  Smaller flame,  no problem re-igniting.   Out at 40 again.   1 shy of 13 brackets</t>
  </si>
  <si>
    <t xml:space="preserve">1st candle test!  Bracketing,    very sooty flame,   18 brackets.  Flame extinguished when fan set to 40.  All blue briefly before that. </t>
  </si>
  <si>
    <t>82b</t>
  </si>
  <si>
    <t>7, etc</t>
  </si>
  <si>
    <t>10, etc</t>
  </si>
  <si>
    <t>7s</t>
  </si>
  <si>
    <t>45, 42, 41</t>
  </si>
  <si>
    <t>same candle, no filter, changed iso.  Burned to completion.  Frayed wick glowing in flame zone (fuel drying out)</t>
  </si>
  <si>
    <t>185:9:45</t>
  </si>
  <si>
    <t>.24</t>
  </si>
  <si>
    <t>.44</t>
  </si>
  <si>
    <t>pmma slab</t>
  </si>
  <si>
    <t>where igniter reaches</t>
  </si>
  <si>
    <t>127</t>
  </si>
  <si>
    <t>73</t>
  </si>
  <si>
    <t>re-ignite slightly downstream where black and transparent meet. Tiny blue flame.   Self-extinguished.</t>
  </si>
  <si>
    <t>185:10:06</t>
  </si>
  <si>
    <t>1-1, 1-5</t>
  </si>
  <si>
    <t>194:9:56</t>
  </si>
  <si>
    <t>2 cm sphere, wake ign</t>
  </si>
  <si>
    <t>igniter 15-1 broke during setup, put in 15-5.   Tried igniting at least 5 x,   got a brief flame a few times, but went out.  He is moving sample upstream to get igniter over more fuel.  Igniter is broken again.  Moving on to next sample.   Interesting note:   radiometer spikes each time he turns on the igniter, even when it is broken.   Ground loop?</t>
  </si>
  <si>
    <t>upstream</t>
  </si>
  <si>
    <t>274 total</t>
  </si>
  <si>
    <t>194:10:38</t>
  </si>
  <si>
    <t>2.5 pot, to max</t>
  </si>
  <si>
    <t>123, to max</t>
  </si>
  <si>
    <t>ignited on 3rd try,   started getting sooty, then turned on N2.   weakened briefly then got sooty again.   Slowly turned up GN2 to max, and flame got weak and all blue, flashed a bit and got smaller.   Then it strengthened again and got sooty.   Turned off GN2 and flame strengthened, then turned off air flow and flame went out.</t>
  </si>
  <si>
    <t>273</t>
  </si>
  <si>
    <t>194:11:17</t>
  </si>
  <si>
    <t>ignited after a few tries,   turned N2 on 5.0 pot, flame still very sooty but only on top half of sphere in video,   fan to 42, still sooty but dimmer, fan 41, similar.  Leading edge all the way to the post,   N2 Off,  soot moves upstream,   air off, flame out,   6 minute burn!</t>
  </si>
  <si>
    <t>5.0 pot, to max</t>
  </si>
  <si>
    <t>194:11:35</t>
  </si>
  <si>
    <t>max</t>
  </si>
  <si>
    <t>321</t>
  </si>
  <si>
    <t>ignited at 62, fan up to 87 then 100,   got long sooty tail, comet.   Envelope flame, very bright and sooty,   then fan to 42, blue LE and sooty tail.   Fan 41, slightly dimmer but still sooty tail.   Joe turned pot to 0.32 (read after) to get minimum flame (very dim blue LE only),    GN2 on max did not blow it out right away, but did eventually extinguish it.  LE blew off and ring flame stabilized for a number of s.   Card full on still camera.  Didn't seem to get the GN2 on the digital stills.  Leaving igniter in msg.  Still fuel left.</t>
  </si>
  <si>
    <t>1, downstreamq</t>
  </si>
  <si>
    <t>51, then max</t>
  </si>
  <si>
    <t>1/20 shutter</t>
  </si>
  <si>
    <t xml:space="preserve">F2 </t>
  </si>
  <si>
    <t>5, flipped 180</t>
  </si>
  <si>
    <t>71 tot</t>
  </si>
  <si>
    <t>76</t>
  </si>
  <si>
    <t>51, 71, max</t>
  </si>
  <si>
    <t>201:9:11</t>
  </si>
  <si>
    <t>10, 20, 44</t>
  </si>
  <si>
    <t>9, 44</t>
  </si>
  <si>
    <t>N2 repress going on during this ops ~ 3 mm Hg.  Joe helping out.  Did not blow out.  Fan increased a bit slowly, so only got to max flow near end.</t>
  </si>
  <si>
    <t>Did not blow out.  Got smaller at max flow,  still images show one half of flame (maybe both sides) went out.</t>
  </si>
  <si>
    <t>nomex natural III</t>
  </si>
  <si>
    <t>91</t>
  </si>
  <si>
    <t>1/30 s shutter</t>
  </si>
  <si>
    <t xml:space="preserve">1 downstream, </t>
  </si>
  <si>
    <t>61</t>
  </si>
  <si>
    <t>leave igniter on entire test to provide additional heat to flame.  Did not ignite.  Not even any smoke.  Flow too high?</t>
  </si>
  <si>
    <t>47</t>
  </si>
  <si>
    <t>pmma sphere</t>
  </si>
  <si>
    <t>igniter broke before ignition.  No stills taken.</t>
  </si>
  <si>
    <t>201:8:52</t>
  </si>
  <si>
    <t>201:10:55</t>
  </si>
  <si>
    <t>201:11:38</t>
  </si>
  <si>
    <t>brief ignition and extinguished after 4 seconds.  No spread.</t>
  </si>
  <si>
    <t>201:11:27</t>
  </si>
  <si>
    <t>brief ignition and extinguished in ~ 3 s.  No spread.</t>
  </si>
  <si>
    <t>201:11:57</t>
  </si>
  <si>
    <t>1  downstream</t>
  </si>
  <si>
    <t>53, max</t>
  </si>
  <si>
    <t>10, 44</t>
  </si>
  <si>
    <t>igniter 2-6 unstowed as broken, so no more std size igniters. 1 ea of short and long left.  Ignition was prolonged, and so flame was strong when flow turned up.   Did not blow out either at high flow or with GN2 although stagnation region blew out.</t>
  </si>
  <si>
    <t>74 total</t>
  </si>
  <si>
    <t>1</t>
  </si>
  <si>
    <t>53</t>
  </si>
  <si>
    <t>1 to max</t>
  </si>
  <si>
    <t>205:10:36</t>
  </si>
  <si>
    <t>try blowing out the flame with GN2. blew out bottom half, but not top half.  Could see where the leading edge gradually blew out with incre GN2</t>
  </si>
  <si>
    <t>45</t>
  </si>
  <si>
    <t xml:space="preserve">flame did blow out with GN2 at about a pot 6.   </t>
  </si>
  <si>
    <t>1 to max increments</t>
  </si>
  <si>
    <t>23</t>
  </si>
  <si>
    <t>1,2,3,3.5,5, 6, 10 pot on GN2.  Stag blew out at 3.5,  flame strong enough did not blow out at 10.</t>
  </si>
  <si>
    <t>205:11:15</t>
  </si>
  <si>
    <t>112</t>
  </si>
  <si>
    <t>205:10:19</t>
  </si>
  <si>
    <t>205:10:50</t>
  </si>
  <si>
    <t>205:11:11</t>
  </si>
  <si>
    <t>Joe completed the soot cleaning and we asked him how dirty things were and it did not sound as if there was much soot to remove.  None of the holes were blocked and the filter was relatively clean.  This follows the data, there is not much change in the calibration numbers.</t>
  </si>
  <si>
    <t>8/3/12</t>
  </si>
  <si>
    <t>SOOT Cleaning</t>
  </si>
  <si>
    <t>8/9/12</t>
  </si>
  <si>
    <t>1/10 shutter</t>
  </si>
  <si>
    <t>4</t>
  </si>
  <si>
    <t>Igniter is broken!   Igniter inventory done.  2 good ones left.  No images taken</t>
  </si>
  <si>
    <t>1/4 shutter</t>
  </si>
  <si>
    <t>1, furthest downstream</t>
  </si>
  <si>
    <t>5, flipped 180 degrees</t>
  </si>
  <si>
    <t>85, incl dark frames</t>
  </si>
  <si>
    <t>nice burn, left igniter on a bit long and then on again.     Camera set to GMT, not MSG.  Appeared to reach a ss size ~ 3 cm long.</t>
  </si>
  <si>
    <t xml:space="preserve">10, </t>
  </si>
  <si>
    <t>65, 56,48,43,41,40</t>
  </si>
  <si>
    <t>spice</t>
  </si>
  <si>
    <t>~4</t>
  </si>
  <si>
    <t>spice igniter, sample 22, trying to see if it works.  Worked like a charm!  Slightly non-symmetric ignition point. Ss velocity for Makoto's model.</t>
  </si>
  <si>
    <t>sample 7 apparently not used.   (Don supposedly used on 5/10),   flame kept going.  At lowest flows shrank but kept going to end of sample.  Became oval away from edges at lowest flows.</t>
  </si>
  <si>
    <t>Originally identified sample as 7, but 7 was last one left on GMT 222. Don commented on blue outer zone noted with yellow inside. Don asked about a flash right after ignition.  He checked igniter and it was still intact.  Burned sample on video at 14:59.  Long flame, probably not a steady size.  No recirculation zone formed downstream of sample.  26 s burn.</t>
  </si>
  <si>
    <t>P</t>
  </si>
  <si>
    <t>9F</t>
  </si>
  <si>
    <t>5s</t>
  </si>
  <si>
    <t>Japan Wax Candle, wake</t>
  </si>
  <si>
    <t>250</t>
  </si>
  <si>
    <t>229:11:19</t>
  </si>
  <si>
    <t>99 tota</t>
  </si>
  <si>
    <t>pot 0.53, .45,.4, .35, 0.32 (out)</t>
  </si>
  <si>
    <t>pot 0.53, .45,.4, .35, 0.32, 0.31 (out)</t>
  </si>
  <si>
    <t>198 tot</t>
  </si>
  <si>
    <t>83b</t>
  </si>
  <si>
    <t>83a</t>
  </si>
  <si>
    <t>realigned crooked candle, cleaned windows, spread out coil loops.  Ignited very quickly on 2nd try, and was sooty immediately.  Decreased flow gradually, took 11 brackets.  Got very low flows.</t>
  </si>
  <si>
    <t>83c</t>
  </si>
  <si>
    <t>216 total pics</t>
  </si>
  <si>
    <t>2, 0</t>
  </si>
  <si>
    <t>2,0</t>
  </si>
  <si>
    <t>~2</t>
  </si>
  <si>
    <t>Pot 0.53, 0.45,  incr to 0.55 (did not complete before extinction</t>
  </si>
  <si>
    <t>same candle, 3rd test,  trying for longer time at low flow. Burned out all wax, only 2 brackets.  Flame got smaller quickly flow rates due to lack of wax.</t>
  </si>
  <si>
    <t>117 tot, 13 brackets</t>
  </si>
  <si>
    <t>0.53, 0.45, 0.4, 0.35, 0.33, 0.32, 0.31 (extinguished)</t>
  </si>
  <si>
    <t>2.47 max</t>
  </si>
  <si>
    <t>72</t>
  </si>
  <si>
    <t>84b</t>
  </si>
  <si>
    <t>84a</t>
  </si>
  <si>
    <t>37</t>
  </si>
  <si>
    <t>8</t>
  </si>
  <si>
    <t>-5</t>
  </si>
  <si>
    <t>800</t>
  </si>
  <si>
    <t>P mode is auto-everything. Very long burn (~ 10 min), waited at every flow condition,   steady radiometer at 0.32 pot  ~ 2.2 (lowest for flame).  Consistenly goes out at pot 0.31</t>
  </si>
  <si>
    <t>153 tot, 4 brackets</t>
  </si>
  <si>
    <t>0.53, 0.38, 0.31</t>
  </si>
  <si>
    <t>A mode.   Trying to heat and then step to low flow immediately.  But running out of wax.   Extinguished/burned out at 0.31</t>
  </si>
  <si>
    <t>229:13:17</t>
  </si>
  <si>
    <t>Over the shoulder view.  iso auto control on, max sensitivity 3200 iso, min shutter 1/4s, shutter hold 5 s. new igniter, have to bend it into shape.  Did not ignite first 2 attempts. Haze on window? wax deposits?  LOS  wider coils on igniter, windows clean, ignited and was all blue initially, then got soot spot,  decreased flow but soot persisted until 0.32 pot when soot disappeared then flame went out.</t>
  </si>
  <si>
    <t>86a</t>
  </si>
  <si>
    <t>86b</t>
  </si>
  <si>
    <t>207 total , 6 brackets</t>
  </si>
  <si>
    <t>0.53, 0.40, 0.35, 0.31 (out)</t>
  </si>
  <si>
    <t xml:space="preserve"> Last one with over the shoulder view on this session.    Got hot then stepped to 0 flow, went out.</t>
  </si>
  <si>
    <t>229:13:48</t>
  </si>
  <si>
    <t>322 total (full)</t>
  </si>
  <si>
    <t>multi</t>
  </si>
  <si>
    <t>0.53, 0.4, 0.35, 0.32, 0.31, off (out)</t>
  </si>
  <si>
    <t>229:13:34</t>
  </si>
  <si>
    <t>Turned on N2 at each flow setting starting at 0.35, not at 0.31.   At 0.31, flame persisted for a long time, went out when fan off (38).  All blue and dim.   2 frames shy of 13 brackets/</t>
  </si>
  <si>
    <t>3</t>
  </si>
  <si>
    <t>86c</t>
  </si>
  <si>
    <t>11 shot (2 from last, then 9)</t>
  </si>
  <si>
    <t>higher flow test, but ran out of fuel too quickly.</t>
  </si>
  <si>
    <t xml:space="preserve">0.53,   </t>
  </si>
  <si>
    <t>1-0</t>
  </si>
  <si>
    <t>229:14:29</t>
  </si>
  <si>
    <t>6</t>
  </si>
  <si>
    <t>70</t>
  </si>
  <si>
    <t>34</t>
  </si>
  <si>
    <t>67</t>
  </si>
  <si>
    <t>254 incl 9 dark</t>
  </si>
  <si>
    <t>234:13:04</t>
  </si>
  <si>
    <t>77</t>
  </si>
  <si>
    <t>71</t>
  </si>
  <si>
    <t>67, 60</t>
  </si>
  <si>
    <t>9, 7</t>
  </si>
  <si>
    <t>ignited well and had initial sooty flame wrapped around leading edge of sample.  Reduced flow to 7 cm/s and flame turned all blue -Emmons shape.  Reached a steady size and spread downstream very slowly, all blue flame.  Top stills look like about 1 cm long flame with curved base and slightly curved tail, mostly oval.   All blue with intermittent yellow streaks.   Very stable.  Spread maybe 1 cm?</t>
  </si>
  <si>
    <t>9</t>
  </si>
  <si>
    <t>igniter didn't work, must have burned out.  Replaced with long igniter.  Ignited and got immediate dim blue flame.  Let it burn for 8 minutes, got 294 images all blue lopsided oval, longer than previous run.  Spread maybe 1 cm</t>
  </si>
  <si>
    <t>234:14:03</t>
  </si>
  <si>
    <t>paraffin wax slab</t>
  </si>
  <si>
    <t>53, 47</t>
  </si>
  <si>
    <t>5, 3</t>
  </si>
  <si>
    <t xml:space="preserve">first wax slab test.   Ignited nicely.  Very sooty flame wrapped around leading edge.  Turned flow down to 3 cm/s.  Flame sooty for a while, then as it burned out leading edge it got dimmer, shorter and eventully  all blue.  Shrank slowly and extinguished by itself.  </t>
  </si>
  <si>
    <t>234:14:25</t>
  </si>
  <si>
    <t>79</t>
  </si>
  <si>
    <t>parrafin wax slab</t>
  </si>
  <si>
    <t>57</t>
  </si>
  <si>
    <t>234:15:07</t>
  </si>
  <si>
    <t>still in this mode at end of ops on 234.</t>
  </si>
  <si>
    <t>remember to turn off auto iso when don't want it.  GMT 229 setup.</t>
  </si>
  <si>
    <t>tried igniting at 6 cm/s.  Flame went out when igniter was retracted, with a puff of smoke.  Tried a 2nd time, same effect.  3rd try igniter  broke/failed.  Sample showed blackened spot around mid-sample in over the shoulder view at 15:15 GMT.  Stowed igniters in bag.  Last run until January when we get new igniters up.</t>
  </si>
  <si>
    <t>8/16/12</t>
  </si>
  <si>
    <t>7</t>
  </si>
  <si>
    <t>13-94:  15:45</t>
  </si>
  <si>
    <t>SETUP</t>
  </si>
  <si>
    <t>unknown</t>
  </si>
  <si>
    <t>Hardware install in the MSG.  Chris Cassidy doing ops.  He took 43 bracket images while working through procedures.  We need to reformat card tomorrow.  GN2 left on for overnight leak check.  Only had time for a no restrictor fan cal, and some of the early values were rushed.</t>
  </si>
  <si>
    <t xml:space="preserve">13-95 </t>
  </si>
  <si>
    <t>Dilution test with CSA-CP</t>
  </si>
  <si>
    <t>STOW</t>
  </si>
  <si>
    <t>98</t>
  </si>
  <si>
    <t>80</t>
  </si>
  <si>
    <t>24</t>
  </si>
  <si>
    <t>15-11</t>
  </si>
  <si>
    <t>actual data for 234 is const iso at 1000</t>
  </si>
  <si>
    <t>down to 1/3 s</t>
  </si>
  <si>
    <t>5</t>
  </si>
  <si>
    <t>auto iso max iso 3200, min exposure 1/4 s</t>
  </si>
  <si>
    <t>initial reading 20.9% O2    fan on max 10 pot 122, 43 cm/s, N2 on max 10 pot - 493 cc/min at 10:03:15 msg time     19.9% O2 at 10:46 msg time still at 493 cc/min.   Fan 120 air 45.   17.6 at 11:20 GMT,  17.35% at 11:34 MSG.   16.9 % at both 11:40 GMT and 11:47:30 MSG.    Excellent data.</t>
  </si>
  <si>
    <t>a number of random ones</t>
  </si>
  <si>
    <t>1 dark frame set</t>
  </si>
  <si>
    <t>68</t>
  </si>
  <si>
    <t>250?</t>
  </si>
  <si>
    <t>99</t>
  </si>
  <si>
    <t>81</t>
  </si>
  <si>
    <t>12</t>
  </si>
  <si>
    <t>1.7</t>
  </si>
  <si>
    <t>264 total</t>
  </si>
  <si>
    <t>68, 51,  slowly to zero</t>
  </si>
  <si>
    <t>same atmosphere.  Re-igntion after removing lens cap.   Good burn,  sooty tail.    Extinguished at very low flow.  Pictures look  sooty,  166 images.</t>
  </si>
  <si>
    <t>1st vititation test with CSA-CP.  N2 on at 495 from 12:34:15 with fan 122 =31 cm/s,    N2 off at msg 14:28:20..  Calc 17.07% O2 ,   nice ignition, blue leading edge, some soot later in tail.    All still frames black because lens cap still on.</t>
  </si>
  <si>
    <t>82</t>
  </si>
  <si>
    <t>25</t>
  </si>
  <si>
    <t>25-13</t>
  </si>
  <si>
    <t>114</t>
  </si>
  <si>
    <t>10</t>
  </si>
  <si>
    <t>132 total</t>
  </si>
  <si>
    <t>11 initial images</t>
  </si>
  <si>
    <t>GMT 13-099 9:15</t>
  </si>
  <si>
    <t>13-095: 14:45</t>
  </si>
  <si>
    <t>13-095:  14:20ish?</t>
  </si>
  <si>
    <t>pmma 2 cm</t>
  </si>
  <si>
    <t>62, 44</t>
  </si>
  <si>
    <t>1.4</t>
  </si>
  <si>
    <t>7.5,  2</t>
  </si>
  <si>
    <t>wake ign,  3/3 initial frames before bracket.   Still camera only took initial and final set of pics, he didn't repress camera at call, he unlocked it 'reset'.  Igniter failed after this test.</t>
  </si>
  <si>
    <t>GMT 13-099 9:50</t>
  </si>
  <si>
    <t>25-11</t>
  </si>
  <si>
    <t>62,  42</t>
  </si>
  <si>
    <t>7.5,  0</t>
  </si>
  <si>
    <t>wake ign,    dim flame propagates upstream, some soot late in burn,  slightly non-symmetric with top spreading faster than bottom</t>
  </si>
  <si>
    <t>GMT 13-099  10:03</t>
  </si>
  <si>
    <t>62, 42</t>
  </si>
  <si>
    <t>8, 0</t>
  </si>
  <si>
    <t>1.1</t>
  </si>
  <si>
    <t>wake ign,     fan pot to 0.5 (42), started getting soot before we put it out (air off) 125 frames this test</t>
  </si>
  <si>
    <t>GMT 13-099  10:39</t>
  </si>
  <si>
    <t>62, 0.4, 0.38, 0.32 pot</t>
  </si>
  <si>
    <t>8, &lt;1 flow</t>
  </si>
  <si>
    <t>wake ign   too far away, needed to go in and readjust igniter,  ignition started again at 10:50 gmt. Flame spread all the way upstream.  Went out at 0.32 pot,  got spherical and flashed out.</t>
  </si>
  <si>
    <t>117a</t>
  </si>
  <si>
    <t>GMT 13-099   11:03</t>
  </si>
  <si>
    <t>329 total (full)</t>
  </si>
  <si>
    <t>62,  98, 62, 42, off</t>
  </si>
  <si>
    <t>8, 20, 8, 1, 0</t>
  </si>
  <si>
    <t>increased flow to 20 cm/s, got a very sooty tail.  After turning flow back to 8 cm/s, soot tail remained.   Even down to 1 cm/s flame had sooty tail.   Sphere down to about 1 cm, smooth after this last burn.</t>
  </si>
  <si>
    <t>GMT13-102  14:50</t>
  </si>
  <si>
    <t>163 total (incl 9 dark frames)</t>
  </si>
  <si>
    <t>62, 52, 42, 39</t>
  </si>
  <si>
    <t>8, 5, 0</t>
  </si>
  <si>
    <t>candle,  paraffin, wake</t>
  </si>
  <si>
    <t>7 s</t>
  </si>
  <si>
    <t>1.2</t>
  </si>
  <si>
    <t>sample is actually down to about 1 cm,  GN2 pot actually set to 8, reading 397,  flow start 12:41    flow stop 14:44:30,   final O2 is 17.3%.   Had Chris anneal the igniter before ignition.  We lost video during ignition for a minute or two.    Chris didn't press shutter until Paul told him we lost video.   So images start late.     Will need to schedule playback of this test.    Flame went out when fan set to 39.  Playback attempted 15:47 but it was streaky.</t>
  </si>
  <si>
    <t>9f1.0</t>
  </si>
  <si>
    <t>0.42</t>
  </si>
  <si>
    <t>GMT13-102 17:33:30</t>
  </si>
  <si>
    <t>new candle,   started GN2 at 15:26 00 gmt 15:31:10 msg  stopped gmt 17:20:20, O2 16.8%.   Bracketing images 7 s hold.  Filled up card with bracket images.   Chris noted the flame was not moving at all, unlike the 'contamination' of the acrylic shape.   At 42 (pot 0.5) was all blue initially, but had soot after a bit.   At 41 (pot 0.4), flame was steady all blue.</t>
  </si>
  <si>
    <t>42, 43, 41</t>
  </si>
  <si>
    <t xml:space="preserve">changed out card for unknown card, 1 handed with glove on!  Hopefully it wasn't #6!  We still don't have that data.     Got sooty pretty quickly,   turned up accidentally to 43 pot, tnen down to 41.   went out on its own at 18:04:30 ish.  He described it as being the side of a pencil eraser, with the back end open. </t>
  </si>
  <si>
    <t>GMT13-102  18:02:</t>
  </si>
  <si>
    <t>3,?, 0</t>
  </si>
  <si>
    <t>full, unknown number of frames</t>
  </si>
  <si>
    <t>131 frames</t>
  </si>
  <si>
    <t>14.5 brackets</t>
  </si>
  <si>
    <t>30+ brackets</t>
  </si>
  <si>
    <t>GMT13-113    MSG 15:27:04-15:41</t>
  </si>
  <si>
    <t>candle, Japan wax</t>
  </si>
  <si>
    <t>42,43,42,41</t>
  </si>
  <si>
    <t>1,2,1,0</t>
  </si>
  <si>
    <t>12 brackets</t>
  </si>
  <si>
    <t>GMT13-113    MSG 17:40:50-15:41</t>
  </si>
  <si>
    <t>.74</t>
  </si>
  <si>
    <t>.27</t>
  </si>
  <si>
    <t>Ign took 3 min.  Only spread top half of video initially.  Wrapped some later.  All blue.   Extinguished on last flow change pot 0.35-0.32, shrank to leading edge</t>
  </si>
  <si>
    <t>GMT13-113   MSG 17:58:00-18:06</t>
  </si>
  <si>
    <t>GMT13-106 12:31:00</t>
  </si>
  <si>
    <t>pmma 1 cm</t>
  </si>
  <si>
    <t xml:space="preserve"> ign at 62, then pots:  0.5, 0.45, 0.40, 0.39, 0.33</t>
  </si>
  <si>
    <t>low</t>
  </si>
  <si>
    <t>new sphere,  issue with numbers,  sample 20 is a stump, completely gone.  LOS for setup/GN2 start   Gn2 on 10:44 pff 12:26 ,  vitiation to 17.3 % o2.  Lots of vapor jetting at low flow. At 0.33 pot flame got all blue just around stagnation region.   Last pic still had a flame~3:15 burn</t>
  </si>
  <si>
    <t>GMT13-106 15:17</t>
  </si>
  <si>
    <t>62, pot 0.4, 0.35, , off</t>
  </si>
  <si>
    <t>2.2</t>
  </si>
  <si>
    <t>Gn2 start, max, at msg 13:07:40,  off 14:54:55, O2 17.1% O2.  Igniter broke, he replaced it 1 handed!  Igniton at 62 then turned down to 41.5 then 41 (0.35 pot),  stable at 0.35 pot.  Out when fan off.</t>
  </si>
  <si>
    <t>GMT13-106 15:40</t>
  </si>
  <si>
    <t>25-11 broke,  15-13</t>
  </si>
  <si>
    <t xml:space="preserve">52, pot 0.4, 0.35 </t>
  </si>
  <si>
    <t>149 total  (63 this test)</t>
  </si>
  <si>
    <t xml:space="preserve">Igniter too far away readjusted 1 handed.  Over the shoulder view, out of focus a bit.  Burned out sample.  Held up sample to camera view, just crunchy bits on the end. </t>
  </si>
  <si>
    <t>Ign took 2 min, flame on top half.  Used GN2 to try and blow out at low flow.  No joy even at max GN2.  Extinguished when flow off.</t>
  </si>
  <si>
    <t>GMT13-113   MSG 18:34:30-18:40:20</t>
  </si>
  <si>
    <t>52, 43, 41</t>
  </si>
  <si>
    <t>Ign in 1 min.  Symmetric growth.  Gets sooty, even when flow reduced to 41.  Gets all blue at 18:38, out at 18:40 at finite extremely low flow.</t>
  </si>
  <si>
    <t>52,42,41</t>
  </si>
  <si>
    <t>5,2,1, &lt;1</t>
  </si>
  <si>
    <t>5,1, &lt;1</t>
  </si>
  <si>
    <t>1 cm sphere, wake</t>
  </si>
  <si>
    <t>15-13?</t>
  </si>
  <si>
    <t>52,  62</t>
  </si>
  <si>
    <t>6, 8</t>
  </si>
  <si>
    <t>GMT13-113   MSG  11:46-11:54</t>
  </si>
  <si>
    <t>1 cm wake sphere</t>
  </si>
  <si>
    <t>repeated ignition attempts, no luck at 52,  brief flame at 62 but also 'flamed out'.   Chris says 1/3 of sphere is gone from wake region.  Need to readjust igniter wire.</t>
  </si>
  <si>
    <t>290 total</t>
  </si>
  <si>
    <t>took about 3 min to ignite, repeated attempts.  Got blue flame that was 1/2 way or mor around top.   Turned fan down in increments:12:10:20 0.6 (43); 11:15 0.5 (42); 11:50 0.35 (41) and 12:35 0.32 (41)   flame self-extinguished.</t>
  </si>
  <si>
    <t>GMT13-116   MSG: 12:06:50-12:13</t>
  </si>
  <si>
    <t>GMT13-116  MSG14:17-14:23</t>
  </si>
  <si>
    <t>15-13</t>
  </si>
  <si>
    <t>62, 0.5, 0.4, 0.35, 0.32, 0.31, 0.3</t>
  </si>
  <si>
    <t>8, 2, 1, 0</t>
  </si>
  <si>
    <t>flame lit on 2nd try,  quickly turned sooty, spread around small remaining sphere.  All blue at lower flows, burned out fuel.  Very nice over the shoulder zoomed in view of flame.  Better than expt video!</t>
  </si>
  <si>
    <t>65</t>
  </si>
  <si>
    <t>farthest upstream</t>
  </si>
  <si>
    <t>GMT13-116  MSG14:55-15:02</t>
  </si>
  <si>
    <t>136 total</t>
  </si>
  <si>
    <t>GMT13-116 MSG 15:17-15:20</t>
  </si>
  <si>
    <t>pmma slab opposed</t>
  </si>
  <si>
    <t>pmma slab, oppsed</t>
  </si>
  <si>
    <t>repeated ignition attempts, no luck keeping the flame sustained.  After igniter retract, the blue flame leading edge shrinks back, the tail shrinks, the flame becomes parallel to the fuel surface, and then winks out.    Apparently not flammable in opposed flow for the same concurrent flow.  Heat losses are different though, due to the metal holder around the back end of sample but not on front edge.</t>
  </si>
  <si>
    <t>25-15</t>
  </si>
  <si>
    <t xml:space="preserve">2 cm pmma sphere </t>
  </si>
  <si>
    <t>pot 3, 1, 0.32</t>
  </si>
  <si>
    <t>15-14</t>
  </si>
  <si>
    <t>downstream</t>
  </si>
  <si>
    <t>8,4,&lt;1</t>
  </si>
  <si>
    <t>146, incl 9 dark</t>
  </si>
  <si>
    <t>pot 3, pot 0.67, 0.33, 0.3, 0</t>
  </si>
  <si>
    <t>8, 2, &lt;1</t>
  </si>
  <si>
    <t xml:space="preserve">at 2 cm/s, incr;  </t>
  </si>
  <si>
    <t>336 full</t>
  </si>
  <si>
    <t>broke 2 igniters on this trying to get it to ignite. 3rd one was suspect, and didn't work.  2nd vitiation, got it ignited, burned just on forward stagnation region, minimal spread.  Went out at finite flow.  Post burn shape was crater and protrusion on lower half.</t>
  </si>
  <si>
    <t>started igniting the protrusion and then went LOS for a minute.  Came back and sample bump is gone,  pot down to flow of 2 cm/s, radiometer increased so still growing flame.  Pot to 0.4 and flame still growing fan 41.5,  pot 0.33 radiometer drops to 0.7,  fan 41,  down to 0.3 but camera ran out and we shut off flow to put flame out.  Sample shape much more spherical.</t>
  </si>
  <si>
    <t>parrafin wax candle</t>
  </si>
  <si>
    <t>20-14</t>
  </si>
  <si>
    <t>51, pots 0.5, 0.4, 0.35, 0.33, 0.32</t>
  </si>
  <si>
    <t>5, 2, 1.5, etc</t>
  </si>
  <si>
    <t>14 bracket</t>
  </si>
  <si>
    <t>&lt;1</t>
  </si>
  <si>
    <t>ignited 'concurrent' or stagnation.17:45 - 0.5; 18:30-0.4; 19:20-0.35; 20:20-0.33; 21:30-0.32;  out 14:22:50</t>
  </si>
  <si>
    <t>pot 1.5 ign, 3.5</t>
  </si>
  <si>
    <t>5, 10</t>
  </si>
  <si>
    <t>paraffin wax candle</t>
  </si>
  <si>
    <t>no ignition, despite prolonged attempted ignition.  No pictures were taken. Candle out of wax?</t>
  </si>
  <si>
    <t>Pots 1.5, 1 0.5, 0.4</t>
  </si>
  <si>
    <t>5,3, 2, etc</t>
  </si>
  <si>
    <t>nice blue flame with inner soot until low flows.  At extinction, the  stag zone opened up before the flame goes out (out of wax).</t>
  </si>
  <si>
    <t>LONG candle burn at very low flow rates.  Sooty at 2 cm/s and then at 1 cm/s.   All blue at fan41.  Candle  out at flow change.</t>
  </si>
  <si>
    <t>new sample. Blue flame wrapped around leading edge,  didn't propagate at all.  Went out on its own at a flow of 0.4 after 75 seconds</t>
  </si>
  <si>
    <t>250, 1000 (18:20:07)</t>
  </si>
  <si>
    <t>intermediate</t>
  </si>
  <si>
    <t>GMT 135</t>
  </si>
  <si>
    <t>GMT-13- 119  MSG  17:03:30-17:10:30</t>
  </si>
  <si>
    <t>GMT 13-119  17:24-17:31</t>
  </si>
  <si>
    <t>GMT-13 122  14:15-14:23</t>
  </si>
  <si>
    <t>GMT-13 122 14:29:30-14:38</t>
  </si>
  <si>
    <t>GMT-13 122</t>
  </si>
  <si>
    <t>102 tot incl dark frames</t>
  </si>
  <si>
    <t>new sphere,  took 4 min to ignite with repeated tries and brief flames .  All blue to start, grew to wrap past 90 degrees .   Short burn about 2 minutes.</t>
  </si>
  <si>
    <t>GMT-13 135    MSG 11:43</t>
  </si>
  <si>
    <t>20-16</t>
  </si>
  <si>
    <t>broke igniter just before it was going to stay lit.  New igniter trying again.  Repeat of test 50.  takes 4 min to ignite sphere at this O2.  blue flame.  Post-burn sample had large amounts of soot on it that had to be wiped off.</t>
  </si>
  <si>
    <t>180 total</t>
  </si>
  <si>
    <t>GMT13-135  msg 12:22</t>
  </si>
  <si>
    <t>pots 3.4 for ign, 1.5, then 0.5</t>
  </si>
  <si>
    <t>10, 5,2, 0</t>
  </si>
  <si>
    <t>broke igniter.    All blue with intermittent soot balls streaking back.  Might be able to get flow measurements from those.  Lab view zoomed in on flame also.</t>
  </si>
  <si>
    <t>GMT13-135  msg 14:57</t>
  </si>
  <si>
    <t>pot 3.4</t>
  </si>
  <si>
    <t>20-16, 15-14  ?</t>
  </si>
  <si>
    <t>15-14, 15-16</t>
  </si>
  <si>
    <t>broke  2 igniters.   No ignition on this test.  No stills.  Record for the day - broke 4 igniters!</t>
  </si>
  <si>
    <t>20-11</t>
  </si>
  <si>
    <t>pots 4.0, 2.6, 0.5, 0</t>
  </si>
  <si>
    <t>10, 7, &lt;1</t>
  </si>
  <si>
    <t>new igniter, anneal it.  3 min to ignite,  turned flow to 7 cm/s, let it wrap around sphere, then reduced flow to &lt; 1 cm/s.   All blue flame.  Nice video from the over the shoulder view.    Sphere is very flat on front,w ith blackened bubble layer extending past 90 degreees on the sphere.  Back ~40% of sphere still fairly pristine.</t>
  </si>
  <si>
    <t>GMT 137</t>
  </si>
  <si>
    <t>GMT137  MSG 12:25-12:31</t>
  </si>
  <si>
    <t>GMT 137  MSG 15:03-15:08</t>
  </si>
  <si>
    <t>pots 4.0, 2.6, 0.35, 0.29</t>
  </si>
  <si>
    <t>pots 4.0, 1.0, 0.4, 0</t>
  </si>
  <si>
    <t xml:space="preserve">nice over the shoulder view, very hard to see dim flame in expt video.  Ignition in 1.5 min.   </t>
  </si>
  <si>
    <t>GMT 137  msg 12:46-12:52</t>
  </si>
  <si>
    <t>stills during ignition.flame ignited over lower part of sphere, wrapped around and then decreased flow to near limit flow, flame shrank forward and oscillated slightly at pot 0.35,  went out when pot turned down to 0.29.</t>
  </si>
  <si>
    <t>got dim flame with stills during ignition, then had Chris do incr and decr flow flame got very long soot tail at  around 10 cm/s and dim blue spherical flame at really low flows.  Flame went out at pot 0.27, with oscillations and a big flash at extinction.</t>
  </si>
  <si>
    <t>321 (full)</t>
  </si>
  <si>
    <t>pots, 4.0, 1.0, 0.4, 0.35, then oscillating high low for a few times.  Then turn down until it goes out, very slowly.</t>
  </si>
  <si>
    <t>20-13</t>
  </si>
  <si>
    <t>flat wax slab</t>
  </si>
  <si>
    <t>igniter 20-11 wass reported broken when he was getting it ready.  Tested 20-132 and it was fine.  Sample ignited briefly - blue curving around leading edge, but went out.  Couldn't get it ignited again at leading edge.   Adjusted igniter dcownstream.  No luck.  No stills taken.</t>
  </si>
  <si>
    <t>GMT 150  10:43-11:00</t>
  </si>
  <si>
    <t>tried igniting in air at 10 cm/s.  Not enough fuel in forward patch on sample.  No flame.  So readjusted igniter to downstream patch (~ 1/2 of sample).  Igniter 20-13 broken,  installing 20-12, uncoiled.</t>
  </si>
  <si>
    <t>GMT 150  11:10-11:42</t>
  </si>
  <si>
    <t>tried to ignite,  no joy, just a puff of smoke each time.</t>
  </si>
  <si>
    <t>GMT 150  11:47-11:52</t>
  </si>
  <si>
    <t>moved igniter upstream of 'crater' we created on last test.   Got a flame briefly, but did not sustain for any spread, shrank and winked out after maybe 15 s or so. Broke the igniter trying to re-ignite.</t>
  </si>
  <si>
    <t>stagnation ignition in air.  Dynamic flow changes planned after igntion.  Good ignition, good dynamics from dim blue to sooty tail.  Bracketing was on  - 2 brackets plus dark frames.</t>
  </si>
  <si>
    <t>GMT 150  16:11-16:14</t>
  </si>
  <si>
    <t>53a</t>
  </si>
  <si>
    <t xml:space="preserve"> pot 3, then variable</t>
  </si>
  <si>
    <t>pot 3 then variable</t>
  </si>
  <si>
    <t>same as previous, with continuous pictures.  Dropped out los for test, got playback of expt video but lost over theshoulder view for most of test.  Up to fan 73 down to 39.  Limit pot setting about 0.28.  149 total pics -27-2extras for camera check.</t>
  </si>
  <si>
    <t>GMT 15016:24-16:28</t>
  </si>
  <si>
    <t>left vm and resent message</t>
  </si>
  <si>
    <t>Data Folder</t>
  </si>
  <si>
    <t>NO DATA FOR ANY TESTPOINTS IN 2012</t>
  </si>
  <si>
    <t>Type of data</t>
  </si>
  <si>
    <t>video</t>
  </si>
  <si>
    <t>still images</t>
  </si>
  <si>
    <t>videos</t>
  </si>
  <si>
    <t>video and still images</t>
  </si>
  <si>
    <t>images</t>
  </si>
  <si>
    <t>images dated 20130409</t>
  </si>
  <si>
    <t>images dated 20130416</t>
  </si>
  <si>
    <t>20130408(adj date)</t>
  </si>
  <si>
    <t>20130415(adj date)</t>
  </si>
  <si>
    <t>20130501(adj date)</t>
  </si>
  <si>
    <t>videos and images dated 20130502</t>
  </si>
  <si>
    <t>**NO DATA FOR THIS ADJUSTED DATE OF 5/3/2013</t>
  </si>
  <si>
    <t>Date on videos and images</t>
  </si>
  <si>
    <t>03/31/2012</t>
  </si>
  <si>
    <t>04/06/2012</t>
  </si>
  <si>
    <t>04/10/2012</t>
  </si>
  <si>
    <t>05/03/2012</t>
  </si>
  <si>
    <t>05/11/2012</t>
  </si>
  <si>
    <t>05/12/2012</t>
  </si>
  <si>
    <t>06/06/2012</t>
  </si>
  <si>
    <t>06/12/2012</t>
  </si>
  <si>
    <t>06/15/2012</t>
  </si>
  <si>
    <t>06/19/2012</t>
  </si>
  <si>
    <t>08/10/2012</t>
  </si>
  <si>
    <t>06/29/2012</t>
  </si>
  <si>
    <t>06/30/2012</t>
  </si>
  <si>
    <t>07/04/2012</t>
  </si>
  <si>
    <t>07/13/2012</t>
  </si>
  <si>
    <t>07/20/2012</t>
  </si>
  <si>
    <t>07/24/2012</t>
  </si>
  <si>
    <t>08/04/2012</t>
  </si>
  <si>
    <t>08/17/2012</t>
  </si>
  <si>
    <t>08/22/2012</t>
  </si>
  <si>
    <t>08/25/2012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</si>
</sst>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
    <numFmt numFmtId="165" formatCode="0.000"/>
  </numFmts>
  <fonts count="8" x14ac:knownFonts="1">
    <font>
      <sz val="10"/>
      <color theme="1"/>
      <name val="Arial"/>
      <family val="2"/>
    </font>
    <font>
      <b/>
      <sz val="10"/>
      <color theme="1"/>
      <name val="Arial"/>
      <family val="2"/>
    </font>
    <font>
      <b/>
      <sz val="10"/>
      <color rgb="FFFF0000"/>
      <name val="Arial"/>
      <family val="2"/>
    </font>
    <font>
      <b/>
      <sz val="10"/>
      <color rgb="FF002060"/>
      <name val="Arial"/>
      <family val="2"/>
    </font>
    <font>
      <b/>
      <sz val="10"/>
      <color theme="3"/>
      <name val="Arial"/>
      <family val="2"/>
    </font>
    <font>
      <b/>
      <sz val="10"/>
      <color rgb="FF00B050"/>
      <name val="Arial"/>
      <family val="2"/>
    </font>
    <font>
      <b/>
      <sz val="16"/>
      <color theme="1"/>
      <name val="Arial"/>
      <family val="2"/>
    </font>
    <font>
      <sz val="11"/>
      <color rgb="FF006100"/>
      <name val="Calibri"/>
      <family val="2"/>
      <scheme val="minor"/>
    </font>
  </fonts>
  <fills count="16">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C6EFCE"/>
      </patternFill>
    </fill>
    <fill>
      <patternFill patternType="solid">
        <fgColor theme="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rgb="FFC00000"/>
      </bottom>
      <diagonal/>
    </border>
    <border>
      <left/>
      <right/>
      <top/>
      <bottom style="medium">
        <color rgb="FFC00000"/>
      </bottom>
      <diagonal/>
    </border>
    <border>
      <left/>
      <right style="thin">
        <color indexed="64"/>
      </right>
      <top/>
      <bottom style="medium">
        <color rgb="FFC00000"/>
      </bottom>
      <diagonal/>
    </border>
    <border>
      <left style="thin">
        <color indexed="64"/>
      </left>
      <right style="thin">
        <color indexed="64"/>
      </right>
      <top style="medium">
        <color rgb="FFC00000"/>
      </top>
      <bottom style="thin">
        <color indexed="64"/>
      </bottom>
      <diagonal/>
    </border>
    <border>
      <left/>
      <right/>
      <top style="medium">
        <color rgb="FFC00000"/>
      </top>
      <bottom style="thin">
        <color indexed="64"/>
      </bottom>
      <diagonal/>
    </border>
    <border>
      <left/>
      <right/>
      <top/>
      <bottom style="thin">
        <color indexed="64"/>
      </bottom>
      <diagonal/>
    </border>
    <border>
      <left style="thin">
        <color rgb="FFC00000"/>
      </left>
      <right style="thin">
        <color indexed="64"/>
      </right>
      <top/>
      <bottom style="medium">
        <color rgb="FFC00000"/>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medium">
        <color rgb="FFC00000"/>
      </bottom>
      <diagonal/>
    </border>
    <border>
      <left/>
      <right style="thin">
        <color indexed="64"/>
      </right>
      <top style="thin">
        <color indexed="64"/>
      </top>
      <bottom style="medium">
        <color rgb="FFC00000"/>
      </bottom>
      <diagonal/>
    </border>
    <border>
      <left style="thin">
        <color indexed="64"/>
      </left>
      <right style="medium">
        <color indexed="64"/>
      </right>
      <top style="thin">
        <color indexed="64"/>
      </top>
      <bottom style="medium">
        <color rgb="FFC00000"/>
      </bottom>
      <diagonal/>
    </border>
    <border>
      <left style="thin">
        <color indexed="64"/>
      </left>
      <right style="thin">
        <color theme="8" tint="-0.499984740745262"/>
      </right>
      <top style="thin">
        <color indexed="64"/>
      </top>
      <bottom style="medium">
        <color rgb="FFC00000"/>
      </bottom>
      <diagonal/>
    </border>
    <border>
      <left style="thin">
        <color indexed="64"/>
      </left>
      <right style="thin">
        <color indexed="64"/>
      </right>
      <top/>
      <bottom style="thin">
        <color theme="8" tint="-0.499984740745262"/>
      </bottom>
      <diagonal/>
    </border>
    <border>
      <left style="thin">
        <color theme="8" tint="-0.499984740745262"/>
      </left>
      <right style="thin">
        <color rgb="FF7030A0"/>
      </right>
      <top style="thin">
        <color indexed="64"/>
      </top>
      <bottom style="medium">
        <color rgb="FFC00000"/>
      </bottom>
      <diagonal/>
    </border>
    <border>
      <left style="thin">
        <color indexed="64"/>
      </left>
      <right style="thin">
        <color rgb="FF7030A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rgb="FF7030A0"/>
      </bottom>
      <diagonal/>
    </border>
    <border>
      <left/>
      <right/>
      <top/>
      <bottom style="medium">
        <color rgb="FF7030A0"/>
      </bottom>
      <diagonal/>
    </border>
    <border>
      <left/>
      <right style="thin">
        <color indexed="64"/>
      </right>
      <top/>
      <bottom/>
      <diagonal/>
    </border>
    <border>
      <left style="thin">
        <color theme="1"/>
      </left>
      <right style="thin">
        <color indexed="64"/>
      </right>
      <top style="thin">
        <color theme="1"/>
      </top>
      <bottom style="thin">
        <color theme="1"/>
      </bottom>
      <diagonal/>
    </border>
    <border>
      <left style="medium">
        <color indexed="64"/>
      </left>
      <right style="thin">
        <color indexed="64"/>
      </right>
      <top style="thin">
        <color indexed="64"/>
      </top>
      <bottom style="medium">
        <color rgb="FFC00000"/>
      </bottom>
      <diagonal/>
    </border>
    <border>
      <left style="thin">
        <color indexed="64"/>
      </left>
      <right style="thin">
        <color indexed="64"/>
      </right>
      <top style="thin">
        <color indexed="64"/>
      </top>
      <bottom style="thin">
        <color rgb="FFFF0000"/>
      </bottom>
      <diagonal/>
    </border>
    <border>
      <left style="thin">
        <color indexed="64"/>
      </left>
      <right style="thin">
        <color indexed="64"/>
      </right>
      <top style="thin">
        <color rgb="FFFF0000"/>
      </top>
      <bottom style="thin">
        <color indexed="64"/>
      </bottom>
      <diagonal/>
    </border>
    <border>
      <left style="thin">
        <color indexed="64"/>
      </left>
      <right style="thin">
        <color theme="1"/>
      </right>
      <top style="thin">
        <color indexed="64"/>
      </top>
      <bottom style="thin">
        <color rgb="FFFF0000"/>
      </bottom>
      <diagonal/>
    </border>
    <border>
      <left/>
      <right style="thin">
        <color indexed="64"/>
      </right>
      <top style="thin">
        <color indexed="64"/>
      </top>
      <bottom style="thin">
        <color rgb="FFFF0000"/>
      </bottom>
      <diagonal/>
    </border>
    <border>
      <left/>
      <right style="thin">
        <color indexed="64"/>
      </right>
      <top/>
      <bottom style="thin">
        <color indexed="64"/>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style="thin">
        <color indexed="64"/>
      </right>
      <top style="thin">
        <color indexed="64"/>
      </top>
      <bottom/>
      <diagonal/>
    </border>
    <border>
      <left style="thin">
        <color indexed="64"/>
      </left>
      <right style="thin">
        <color theme="1"/>
      </right>
      <top style="thin">
        <color indexed="64"/>
      </top>
      <bottom/>
      <diagonal/>
    </border>
    <border>
      <left/>
      <right style="thin">
        <color indexed="64"/>
      </right>
      <top style="thin">
        <color theme="1"/>
      </top>
      <bottom style="thin">
        <color indexed="64"/>
      </bottom>
      <diagonal/>
    </border>
  </borders>
  <cellStyleXfs count="2">
    <xf numFmtId="0" fontId="0" fillId="0" borderId="0"/>
    <xf numFmtId="0" fontId="7" fillId="14" borderId="0" applyNumberFormat="0" applyBorder="0" applyAlignment="0" applyProtection="0"/>
  </cellStyleXfs>
  <cellXfs count="351">
    <xf numFmtId="0" fontId="0" fillId="0" borderId="0" xfId="0"/>
    <xf numFmtId="0" fontId="0" fillId="0" borderId="0" xfId="0" applyAlignment="1">
      <alignment wrapText="1"/>
    </xf>
    <xf numFmtId="0" fontId="0" fillId="0" borderId="1" xfId="0" applyBorder="1"/>
    <xf numFmtId="0" fontId="0" fillId="2" borderId="1" xfId="0" applyFill="1" applyBorder="1"/>
    <xf numFmtId="0" fontId="0" fillId="3" borderId="1" xfId="0" applyFill="1" applyBorder="1"/>
    <xf numFmtId="0" fontId="0" fillId="4" borderId="1" xfId="0" applyFill="1" applyBorder="1"/>
    <xf numFmtId="16" fontId="0" fillId="0" borderId="1" xfId="0" applyNumberFormat="1" applyBorder="1"/>
    <xf numFmtId="0" fontId="0" fillId="2" borderId="1" xfId="0" applyFill="1" applyBorder="1" applyAlignment="1">
      <alignment wrapText="1"/>
    </xf>
    <xf numFmtId="49" fontId="0" fillId="0" borderId="0" xfId="0" applyNumberFormat="1"/>
    <xf numFmtId="49" fontId="0" fillId="2" borderId="1" xfId="0" applyNumberFormat="1" applyFill="1" applyBorder="1" applyAlignment="1">
      <alignment wrapText="1"/>
    </xf>
    <xf numFmtId="49" fontId="0" fillId="0" borderId="0" xfId="0" applyNumberFormat="1" applyAlignment="1">
      <alignment textRotation="90" wrapText="1"/>
    </xf>
    <xf numFmtId="49" fontId="0" fillId="2" borderId="1" xfId="0" applyNumberFormat="1" applyFill="1" applyBorder="1" applyAlignment="1">
      <alignment textRotation="90" wrapText="1"/>
    </xf>
    <xf numFmtId="0" fontId="0" fillId="3" borderId="1" xfId="0" applyFill="1" applyBorder="1" applyAlignment="1">
      <alignment wrapText="1"/>
    </xf>
    <xf numFmtId="49" fontId="0" fillId="0" borderId="1" xfId="0" applyNumberFormat="1" applyBorder="1"/>
    <xf numFmtId="0" fontId="0" fillId="5" borderId="1" xfId="0" applyFill="1" applyBorder="1" applyAlignment="1">
      <alignment wrapText="1"/>
    </xf>
    <xf numFmtId="49" fontId="0" fillId="0" borderId="4" xfId="0" applyNumberFormat="1" applyBorder="1"/>
    <xf numFmtId="49" fontId="0" fillId="0" borderId="5" xfId="0" applyNumberFormat="1" applyBorder="1"/>
    <xf numFmtId="0" fontId="0" fillId="0" borderId="5" xfId="0" applyBorder="1"/>
    <xf numFmtId="0" fontId="0" fillId="5" borderId="5" xfId="0" applyFill="1" applyBorder="1" applyAlignment="1">
      <alignment wrapText="1"/>
    </xf>
    <xf numFmtId="0" fontId="0" fillId="0" borderId="4" xfId="0" applyBorder="1"/>
    <xf numFmtId="16" fontId="0" fillId="0" borderId="1" xfId="0" applyNumberFormat="1" applyBorder="1" applyAlignment="1">
      <alignment wrapText="1"/>
    </xf>
    <xf numFmtId="49" fontId="0" fillId="0" borderId="1" xfId="0" applyNumberFormat="1" applyBorder="1" applyAlignment="1">
      <alignment wrapText="1"/>
    </xf>
    <xf numFmtId="0" fontId="0" fillId="0" borderId="1" xfId="0" applyBorder="1" applyAlignment="1">
      <alignment wrapText="1"/>
    </xf>
    <xf numFmtId="49" fontId="0" fillId="3" borderId="1" xfId="0" applyNumberFormat="1" applyFill="1" applyBorder="1" applyAlignment="1">
      <alignment wrapText="1"/>
    </xf>
    <xf numFmtId="49" fontId="0" fillId="3" borderId="1" xfId="0" applyNumberFormat="1" applyFill="1" applyBorder="1" applyAlignment="1">
      <alignment textRotation="90" wrapText="1"/>
    </xf>
    <xf numFmtId="0" fontId="0" fillId="4" borderId="1" xfId="0" applyFill="1" applyBorder="1" applyAlignment="1">
      <alignment wrapText="1"/>
    </xf>
    <xf numFmtId="16" fontId="0" fillId="0" borderId="4" xfId="0" applyNumberFormat="1" applyBorder="1"/>
    <xf numFmtId="0" fontId="0" fillId="0" borderId="0" xfId="0" applyAlignment="1">
      <alignment horizontal="center"/>
    </xf>
    <xf numFmtId="0" fontId="0" fillId="2" borderId="3" xfId="0" applyFill="1" applyBorder="1" applyAlignment="1">
      <alignment wrapText="1"/>
    </xf>
    <xf numFmtId="49" fontId="0" fillId="2" borderId="3" xfId="0" applyNumberFormat="1" applyFill="1" applyBorder="1" applyAlignment="1">
      <alignment wrapText="1"/>
    </xf>
    <xf numFmtId="49" fontId="0" fillId="2" borderId="3" xfId="0" applyNumberFormat="1" applyFill="1" applyBorder="1" applyAlignment="1">
      <alignment textRotation="90" wrapText="1"/>
    </xf>
    <xf numFmtId="49" fontId="0" fillId="3" borderId="3" xfId="0" applyNumberFormat="1" applyFill="1" applyBorder="1" applyAlignment="1">
      <alignment textRotation="90" wrapText="1"/>
    </xf>
    <xf numFmtId="49" fontId="0" fillId="0" borderId="4" xfId="0" applyNumberFormat="1" applyBorder="1" applyAlignment="1">
      <alignment wrapText="1"/>
    </xf>
    <xf numFmtId="0" fontId="0" fillId="0" borderId="4" xfId="0" applyBorder="1" applyAlignment="1">
      <alignment wrapText="1"/>
    </xf>
    <xf numFmtId="0" fontId="0" fillId="2" borderId="4" xfId="0" applyFill="1" applyBorder="1" applyAlignment="1">
      <alignment wrapText="1"/>
    </xf>
    <xf numFmtId="49" fontId="0" fillId="2" borderId="4" xfId="0" applyNumberFormat="1" applyFill="1" applyBorder="1" applyAlignment="1">
      <alignment wrapText="1"/>
    </xf>
    <xf numFmtId="49" fontId="0" fillId="2" borderId="4" xfId="0" applyNumberFormat="1" applyFill="1" applyBorder="1" applyAlignment="1">
      <alignment textRotation="90" wrapText="1"/>
    </xf>
    <xf numFmtId="49" fontId="0" fillId="3" borderId="4" xfId="0" applyNumberFormat="1" applyFill="1" applyBorder="1" applyAlignment="1">
      <alignment wrapText="1"/>
    </xf>
    <xf numFmtId="0" fontId="0" fillId="3" borderId="4" xfId="0" applyFill="1" applyBorder="1" applyAlignment="1">
      <alignment wrapText="1"/>
    </xf>
    <xf numFmtId="49" fontId="0" fillId="3" borderId="4" xfId="0" applyNumberFormat="1" applyFill="1" applyBorder="1" applyAlignment="1">
      <alignment textRotation="90" wrapText="1"/>
    </xf>
    <xf numFmtId="0" fontId="0" fillId="4" borderId="4" xfId="0" applyFill="1" applyBorder="1" applyAlignment="1">
      <alignment wrapText="1"/>
    </xf>
    <xf numFmtId="49" fontId="0" fillId="2" borderId="5" xfId="0" applyNumberFormat="1" applyFill="1" applyBorder="1" applyAlignment="1">
      <alignment wrapText="1"/>
    </xf>
    <xf numFmtId="49" fontId="0" fillId="3" borderId="5" xfId="0" applyNumberFormat="1" applyFill="1" applyBorder="1" applyAlignment="1">
      <alignment textRotation="90" wrapText="1"/>
    </xf>
    <xf numFmtId="16" fontId="0" fillId="0" borderId="7" xfId="0" applyNumberFormat="1" applyBorder="1" applyAlignment="1">
      <alignment wrapText="1"/>
    </xf>
    <xf numFmtId="49" fontId="0" fillId="0" borderId="7" xfId="0" applyNumberFormat="1" applyBorder="1" applyAlignment="1">
      <alignment wrapText="1"/>
    </xf>
    <xf numFmtId="0" fontId="0" fillId="0" borderId="7" xfId="0" applyBorder="1" applyAlignment="1">
      <alignment wrapText="1"/>
    </xf>
    <xf numFmtId="0" fontId="0" fillId="2" borderId="7" xfId="0" applyFill="1" applyBorder="1" applyAlignment="1">
      <alignment wrapText="1"/>
    </xf>
    <xf numFmtId="49" fontId="0" fillId="2" borderId="7" xfId="0" applyNumberFormat="1" applyFill="1" applyBorder="1" applyAlignment="1">
      <alignment wrapText="1"/>
    </xf>
    <xf numFmtId="49" fontId="0" fillId="3" borderId="7" xfId="0" applyNumberFormat="1" applyFill="1" applyBorder="1" applyAlignment="1">
      <alignment wrapText="1"/>
    </xf>
    <xf numFmtId="0" fontId="0" fillId="3" borderId="7" xfId="0" applyFill="1" applyBorder="1" applyAlignment="1">
      <alignment wrapText="1"/>
    </xf>
    <xf numFmtId="49" fontId="0" fillId="3" borderId="7" xfId="0" applyNumberFormat="1" applyFill="1" applyBorder="1" applyAlignment="1">
      <alignment textRotation="90" wrapText="1"/>
    </xf>
    <xf numFmtId="0" fontId="0" fillId="4" borderId="7" xfId="0" applyFill="1" applyBorder="1" applyAlignment="1">
      <alignment wrapText="1"/>
    </xf>
    <xf numFmtId="0" fontId="0" fillId="2" borderId="4" xfId="0" applyFill="1" applyBorder="1"/>
    <xf numFmtId="0" fontId="0" fillId="3" borderId="4" xfId="0" applyFill="1" applyBorder="1"/>
    <xf numFmtId="0" fontId="0" fillId="4" borderId="4" xfId="0" applyFill="1" applyBorder="1"/>
    <xf numFmtId="49" fontId="0" fillId="0" borderId="3" xfId="0" applyNumberFormat="1" applyBorder="1"/>
    <xf numFmtId="0" fontId="0" fillId="0" borderId="3" xfId="0" applyBorder="1"/>
    <xf numFmtId="0" fontId="0" fillId="2" borderId="3" xfId="0" applyFill="1" applyBorder="1"/>
    <xf numFmtId="0" fontId="0" fillId="3" borderId="3" xfId="0" applyFill="1" applyBorder="1"/>
    <xf numFmtId="0" fontId="0" fillId="4" borderId="3" xfId="0" applyFill="1" applyBorder="1"/>
    <xf numFmtId="0" fontId="0" fillId="2" borderId="5" xfId="0" applyFill="1" applyBorder="1"/>
    <xf numFmtId="0" fontId="0" fillId="3" borderId="5" xfId="0" applyFill="1" applyBorder="1"/>
    <xf numFmtId="0" fontId="0" fillId="4" borderId="5" xfId="0" applyFill="1" applyBorder="1"/>
    <xf numFmtId="0" fontId="0" fillId="0" borderId="6" xfId="0" applyBorder="1"/>
    <xf numFmtId="16" fontId="0" fillId="0" borderId="3" xfId="0" applyNumberFormat="1" applyBorder="1"/>
    <xf numFmtId="16" fontId="0" fillId="0" borderId="5" xfId="0" applyNumberFormat="1" applyBorder="1"/>
    <xf numFmtId="16" fontId="0" fillId="0" borderId="8" xfId="0" applyNumberFormat="1" applyBorder="1"/>
    <xf numFmtId="49" fontId="0" fillId="0" borderId="8" xfId="0" applyNumberFormat="1" applyBorder="1"/>
    <xf numFmtId="0" fontId="0" fillId="0" borderId="8" xfId="0" applyBorder="1"/>
    <xf numFmtId="0" fontId="0" fillId="2" borderId="8" xfId="0" applyFill="1" applyBorder="1"/>
    <xf numFmtId="0" fontId="0" fillId="2" borderId="8" xfId="0" applyFill="1" applyBorder="1" applyAlignment="1">
      <alignment wrapText="1"/>
    </xf>
    <xf numFmtId="49" fontId="0" fillId="2" borderId="8" xfId="0" applyNumberFormat="1" applyFill="1" applyBorder="1" applyAlignment="1">
      <alignment wrapText="1"/>
    </xf>
    <xf numFmtId="0" fontId="0" fillId="3" borderId="8" xfId="0" applyFill="1" applyBorder="1"/>
    <xf numFmtId="49" fontId="0" fillId="3" borderId="8" xfId="0" applyNumberFormat="1" applyFill="1" applyBorder="1" applyAlignment="1">
      <alignment textRotation="90" wrapText="1"/>
    </xf>
    <xf numFmtId="0" fontId="0" fillId="4" borderId="8" xfId="0" applyFill="1" applyBorder="1"/>
    <xf numFmtId="0" fontId="0" fillId="0" borderId="9" xfId="0" applyBorder="1"/>
    <xf numFmtId="0" fontId="0" fillId="0" borderId="9" xfId="0" applyBorder="1" applyAlignment="1">
      <alignment wrapText="1"/>
    </xf>
    <xf numFmtId="0" fontId="2" fillId="2" borderId="1" xfId="0" applyFont="1" applyFill="1" applyBorder="1"/>
    <xf numFmtId="0" fontId="5" fillId="4" borderId="1" xfId="0" applyFont="1" applyFill="1" applyBorder="1"/>
    <xf numFmtId="16" fontId="0" fillId="0" borderId="8" xfId="0" applyNumberFormat="1" applyBorder="1" applyAlignment="1">
      <alignment wrapText="1"/>
    </xf>
    <xf numFmtId="49" fontId="0" fillId="0" borderId="8" xfId="0" applyNumberFormat="1" applyBorder="1" applyAlignment="1">
      <alignment wrapText="1"/>
    </xf>
    <xf numFmtId="1" fontId="0" fillId="0" borderId="8" xfId="0" applyNumberFormat="1" applyBorder="1" applyAlignment="1">
      <alignment wrapText="1"/>
    </xf>
    <xf numFmtId="49" fontId="0" fillId="2" borderId="8" xfId="0" applyNumberFormat="1" applyFill="1" applyBorder="1" applyAlignment="1">
      <alignment textRotation="90" wrapText="1"/>
    </xf>
    <xf numFmtId="49" fontId="0" fillId="3" borderId="8" xfId="0" applyNumberFormat="1" applyFill="1" applyBorder="1" applyAlignment="1">
      <alignment wrapText="1"/>
    </xf>
    <xf numFmtId="0" fontId="0" fillId="3" borderId="8" xfId="0" applyFill="1" applyBorder="1" applyAlignment="1">
      <alignment wrapText="1"/>
    </xf>
    <xf numFmtId="0" fontId="0" fillId="4" borderId="8" xfId="0" applyFill="1" applyBorder="1" applyAlignment="1">
      <alignment wrapText="1"/>
    </xf>
    <xf numFmtId="0" fontId="0" fillId="0" borderId="8" xfId="0" applyBorder="1" applyAlignment="1">
      <alignment wrapText="1"/>
    </xf>
    <xf numFmtId="49" fontId="0" fillId="0" borderId="11" xfId="0" applyNumberFormat="1" applyBorder="1" applyAlignment="1">
      <alignment wrapText="1"/>
    </xf>
    <xf numFmtId="0" fontId="0" fillId="0" borderId="11" xfId="0" applyBorder="1" applyAlignment="1">
      <alignment wrapText="1"/>
    </xf>
    <xf numFmtId="0" fontId="0" fillId="2" borderId="11" xfId="0" applyFill="1" applyBorder="1" applyAlignment="1">
      <alignment wrapText="1"/>
    </xf>
    <xf numFmtId="49" fontId="0" fillId="2" borderId="11" xfId="0" applyNumberFormat="1" applyFill="1" applyBorder="1" applyAlignment="1">
      <alignment wrapText="1"/>
    </xf>
    <xf numFmtId="49" fontId="0" fillId="2" borderId="11" xfId="0" applyNumberFormat="1" applyFill="1" applyBorder="1" applyAlignment="1">
      <alignment textRotation="90" wrapText="1"/>
    </xf>
    <xf numFmtId="49" fontId="0" fillId="3" borderId="11" xfId="0" applyNumberFormat="1" applyFill="1" applyBorder="1" applyAlignment="1">
      <alignment wrapText="1"/>
    </xf>
    <xf numFmtId="0" fontId="0" fillId="3" borderId="11" xfId="0" applyFill="1" applyBorder="1" applyAlignment="1">
      <alignment wrapText="1"/>
    </xf>
    <xf numFmtId="49" fontId="0" fillId="3" borderId="11" xfId="0" applyNumberFormat="1" applyFill="1" applyBorder="1" applyAlignment="1">
      <alignment textRotation="90" wrapText="1"/>
    </xf>
    <xf numFmtId="0" fontId="0" fillId="4" borderId="11" xfId="0" applyFill="1"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3" xfId="0" applyBorder="1"/>
    <xf numFmtId="14" fontId="0" fillId="0" borderId="4" xfId="0" applyNumberFormat="1" applyBorder="1"/>
    <xf numFmtId="14" fontId="0" fillId="0" borderId="1" xfId="0" applyNumberFormat="1" applyBorder="1"/>
    <xf numFmtId="49" fontId="0" fillId="0" borderId="0" xfId="0" applyNumberFormat="1" applyAlignment="1">
      <alignment wrapText="1"/>
    </xf>
    <xf numFmtId="14" fontId="0" fillId="0" borderId="2" xfId="0" applyNumberFormat="1" applyBorder="1"/>
    <xf numFmtId="0" fontId="0" fillId="4" borderId="7" xfId="0" applyFill="1" applyBorder="1"/>
    <xf numFmtId="49" fontId="0" fillId="0" borderId="14" xfId="0" applyNumberFormat="1" applyBorder="1"/>
    <xf numFmtId="49" fontId="0" fillId="0" borderId="15" xfId="0" applyNumberFormat="1" applyBorder="1"/>
    <xf numFmtId="0" fontId="0" fillId="0" borderId="15" xfId="0" applyBorder="1"/>
    <xf numFmtId="0" fontId="0" fillId="2" borderId="15" xfId="0" applyFill="1" applyBorder="1"/>
    <xf numFmtId="49" fontId="0" fillId="2" borderId="15" xfId="0" applyNumberFormat="1" applyFill="1" applyBorder="1" applyAlignment="1">
      <alignment wrapText="1"/>
    </xf>
    <xf numFmtId="49" fontId="0" fillId="2" borderId="15" xfId="0" applyNumberFormat="1" applyFill="1" applyBorder="1" applyAlignment="1">
      <alignment textRotation="90" wrapText="1"/>
    </xf>
    <xf numFmtId="0" fontId="0" fillId="3" borderId="15" xfId="0" applyFill="1" applyBorder="1"/>
    <xf numFmtId="49" fontId="0" fillId="3" borderId="15" xfId="0" applyNumberFormat="1" applyFill="1" applyBorder="1" applyAlignment="1">
      <alignment textRotation="90" wrapText="1"/>
    </xf>
    <xf numFmtId="0" fontId="0" fillId="4" borderId="15" xfId="0" applyFill="1" applyBorder="1"/>
    <xf numFmtId="49" fontId="3" fillId="3" borderId="1" xfId="0" applyNumberFormat="1" applyFont="1" applyFill="1" applyBorder="1" applyAlignment="1">
      <alignment wrapText="1"/>
    </xf>
    <xf numFmtId="49" fontId="0" fillId="3" borderId="3" xfId="0" applyNumberFormat="1" applyFill="1" applyBorder="1" applyAlignment="1">
      <alignment wrapText="1"/>
    </xf>
    <xf numFmtId="49" fontId="0" fillId="3" borderId="5" xfId="0" applyNumberFormat="1" applyFill="1" applyBorder="1" applyAlignment="1">
      <alignment wrapText="1"/>
    </xf>
    <xf numFmtId="49" fontId="0" fillId="3" borderId="15" xfId="0" applyNumberFormat="1" applyFill="1" applyBorder="1" applyAlignment="1">
      <alignment wrapText="1"/>
    </xf>
    <xf numFmtId="14" fontId="0" fillId="0" borderId="16" xfId="0" applyNumberFormat="1" applyBorder="1"/>
    <xf numFmtId="49" fontId="0" fillId="0" borderId="16" xfId="0" applyNumberFormat="1" applyBorder="1"/>
    <xf numFmtId="0" fontId="0" fillId="0" borderId="16" xfId="0" applyBorder="1"/>
    <xf numFmtId="0" fontId="0" fillId="2" borderId="16" xfId="0" applyFill="1" applyBorder="1"/>
    <xf numFmtId="0" fontId="0" fillId="2" borderId="16" xfId="0" applyFill="1" applyBorder="1" applyAlignment="1">
      <alignment wrapText="1"/>
    </xf>
    <xf numFmtId="49" fontId="0" fillId="2" borderId="16" xfId="0" applyNumberFormat="1" applyFill="1" applyBorder="1" applyAlignment="1">
      <alignment wrapText="1"/>
    </xf>
    <xf numFmtId="49" fontId="0" fillId="2" borderId="16" xfId="0" applyNumberFormat="1" applyFill="1" applyBorder="1" applyAlignment="1">
      <alignment textRotation="90" wrapText="1"/>
    </xf>
    <xf numFmtId="49" fontId="0" fillId="3" borderId="16" xfId="0" applyNumberFormat="1" applyFill="1" applyBorder="1" applyAlignment="1">
      <alignment wrapText="1"/>
    </xf>
    <xf numFmtId="0" fontId="0" fillId="3" borderId="16" xfId="0" applyFill="1" applyBorder="1"/>
    <xf numFmtId="49" fontId="0" fillId="3" borderId="16" xfId="0" applyNumberFormat="1" applyFill="1" applyBorder="1" applyAlignment="1">
      <alignment textRotation="90" wrapText="1"/>
    </xf>
    <xf numFmtId="0" fontId="0" fillId="4" borderId="16" xfId="0" applyFill="1" applyBorder="1"/>
    <xf numFmtId="0" fontId="0" fillId="4" borderId="18" xfId="0" applyFill="1" applyBorder="1"/>
    <xf numFmtId="49" fontId="0" fillId="2" borderId="20" xfId="0" applyNumberFormat="1" applyFill="1" applyBorder="1" applyAlignment="1">
      <alignment textRotation="90" wrapText="1"/>
    </xf>
    <xf numFmtId="0" fontId="1" fillId="0" borderId="24" xfId="0" applyFont="1" applyBorder="1" applyAlignment="1">
      <alignment wrapText="1"/>
    </xf>
    <xf numFmtId="49" fontId="1" fillId="0" borderId="24" xfId="0" applyNumberFormat="1" applyFont="1" applyBorder="1" applyAlignment="1">
      <alignment wrapText="1"/>
    </xf>
    <xf numFmtId="0" fontId="1" fillId="2" borderId="24" xfId="0" applyFont="1" applyFill="1" applyBorder="1" applyAlignment="1">
      <alignment textRotation="90" wrapText="1"/>
    </xf>
    <xf numFmtId="0" fontId="1" fillId="2" borderId="24" xfId="0" applyFont="1" applyFill="1" applyBorder="1" applyAlignment="1">
      <alignment wrapText="1"/>
    </xf>
    <xf numFmtId="49" fontId="1" fillId="2" borderId="24" xfId="0" applyNumberFormat="1" applyFont="1" applyFill="1" applyBorder="1" applyAlignment="1">
      <alignment textRotation="90" wrapText="1"/>
    </xf>
    <xf numFmtId="49" fontId="1" fillId="3" borderId="24" xfId="0" applyNumberFormat="1" applyFont="1" applyFill="1" applyBorder="1" applyAlignment="1">
      <alignment wrapText="1"/>
    </xf>
    <xf numFmtId="0" fontId="1" fillId="3" borderId="24" xfId="0" applyFont="1" applyFill="1" applyBorder="1" applyAlignment="1">
      <alignment wrapText="1"/>
    </xf>
    <xf numFmtId="0" fontId="1" fillId="3" borderId="24" xfId="0" applyFont="1" applyFill="1" applyBorder="1" applyAlignment="1">
      <alignment textRotation="90" wrapText="1"/>
    </xf>
    <xf numFmtId="49" fontId="1" fillId="3" borderId="24" xfId="0" applyNumberFormat="1" applyFont="1" applyFill="1" applyBorder="1" applyAlignment="1">
      <alignment textRotation="90" wrapText="1"/>
    </xf>
    <xf numFmtId="0" fontId="1" fillId="4" borderId="24" xfId="0" applyFont="1" applyFill="1" applyBorder="1" applyAlignment="1">
      <alignment textRotation="90" wrapText="1"/>
    </xf>
    <xf numFmtId="0" fontId="0" fillId="0" borderId="25" xfId="0" applyBorder="1" applyAlignment="1">
      <alignment wrapText="1"/>
    </xf>
    <xf numFmtId="0" fontId="4" fillId="6" borderId="1" xfId="0" applyFont="1" applyFill="1" applyBorder="1"/>
    <xf numFmtId="0" fontId="0" fillId="6" borderId="1" xfId="0" applyFill="1" applyBorder="1"/>
    <xf numFmtId="0" fontId="0" fillId="6" borderId="1" xfId="0" applyFill="1" applyBorder="1" applyAlignment="1">
      <alignment wrapText="1"/>
    </xf>
    <xf numFmtId="0" fontId="0" fillId="6" borderId="1" xfId="0" applyFill="1" applyBorder="1" applyAlignment="1">
      <alignment horizontal="center"/>
    </xf>
    <xf numFmtId="49" fontId="0" fillId="6" borderId="1" xfId="0" applyNumberFormat="1" applyFill="1" applyBorder="1" applyAlignment="1">
      <alignment textRotation="90" wrapText="1"/>
    </xf>
    <xf numFmtId="0" fontId="1" fillId="6" borderId="24" xfId="0" applyFont="1" applyFill="1" applyBorder="1" applyAlignment="1">
      <alignment textRotation="90" wrapText="1"/>
    </xf>
    <xf numFmtId="0" fontId="1" fillId="6" borderId="24" xfId="0" applyFont="1" applyFill="1" applyBorder="1" applyAlignment="1">
      <alignment horizontal="center" textRotation="90" wrapText="1"/>
    </xf>
    <xf numFmtId="49" fontId="1" fillId="6" borderId="24" xfId="0" applyNumberFormat="1" applyFont="1" applyFill="1" applyBorder="1" applyAlignment="1">
      <alignment textRotation="90" wrapText="1"/>
    </xf>
    <xf numFmtId="0" fontId="0" fillId="6" borderId="7" xfId="0" applyFill="1" applyBorder="1" applyAlignment="1">
      <alignment wrapText="1"/>
    </xf>
    <xf numFmtId="0" fontId="0" fillId="6" borderId="7" xfId="0" applyFill="1" applyBorder="1" applyAlignment="1">
      <alignment horizontal="center" wrapText="1"/>
    </xf>
    <xf numFmtId="49" fontId="0" fillId="6" borderId="7" xfId="0" applyNumberFormat="1" applyFill="1" applyBorder="1" applyAlignment="1">
      <alignment textRotation="90" wrapText="1"/>
    </xf>
    <xf numFmtId="0" fontId="0" fillId="6" borderId="22" xfId="0" applyFill="1" applyBorder="1" applyAlignment="1">
      <alignment wrapText="1"/>
    </xf>
    <xf numFmtId="0" fontId="0" fillId="6" borderId="23" xfId="0" applyFill="1" applyBorder="1" applyAlignment="1">
      <alignment wrapText="1"/>
    </xf>
    <xf numFmtId="0" fontId="0" fillId="6" borderId="1" xfId="0" applyFill="1" applyBorder="1" applyAlignment="1">
      <alignment horizontal="center" wrapText="1"/>
    </xf>
    <xf numFmtId="0" fontId="0" fillId="6" borderId="19" xfId="0" applyFill="1" applyBorder="1" applyAlignment="1">
      <alignment wrapText="1"/>
    </xf>
    <xf numFmtId="0" fontId="0" fillId="6" borderId="21" xfId="0" applyFill="1" applyBorder="1" applyAlignment="1">
      <alignment wrapText="1"/>
    </xf>
    <xf numFmtId="0" fontId="0" fillId="6" borderId="10" xfId="0" applyFill="1" applyBorder="1" applyAlignment="1">
      <alignment wrapText="1"/>
    </xf>
    <xf numFmtId="0" fontId="0" fillId="6" borderId="8" xfId="0" applyFill="1" applyBorder="1" applyAlignment="1">
      <alignment wrapText="1"/>
    </xf>
    <xf numFmtId="0" fontId="0" fillId="6" borderId="8" xfId="0" applyFill="1" applyBorder="1" applyAlignment="1">
      <alignment horizontal="center" wrapText="1"/>
    </xf>
    <xf numFmtId="49" fontId="0" fillId="6" borderId="8" xfId="0" applyNumberFormat="1" applyFill="1" applyBorder="1" applyAlignment="1">
      <alignment textRotation="90" wrapText="1"/>
    </xf>
    <xf numFmtId="0" fontId="0" fillId="6" borderId="11" xfId="0" applyFill="1" applyBorder="1" applyAlignment="1">
      <alignment wrapText="1"/>
    </xf>
    <xf numFmtId="0" fontId="0" fillId="6" borderId="11" xfId="0" applyFill="1" applyBorder="1" applyAlignment="1">
      <alignment horizontal="center" wrapText="1"/>
    </xf>
    <xf numFmtId="49" fontId="0" fillId="6" borderId="11" xfId="0" applyNumberFormat="1" applyFill="1" applyBorder="1" applyAlignment="1">
      <alignment textRotation="90" wrapText="1"/>
    </xf>
    <xf numFmtId="0" fontId="0" fillId="6" borderId="4" xfId="0" applyFill="1" applyBorder="1" applyAlignment="1">
      <alignment wrapText="1"/>
    </xf>
    <xf numFmtId="0" fontId="0" fillId="6" borderId="4" xfId="0" applyFill="1" applyBorder="1" applyAlignment="1">
      <alignment horizontal="center" wrapText="1"/>
    </xf>
    <xf numFmtId="49" fontId="0" fillId="6" borderId="4" xfId="0" applyNumberFormat="1" applyFill="1" applyBorder="1" applyAlignment="1">
      <alignment textRotation="90" wrapText="1"/>
    </xf>
    <xf numFmtId="0" fontId="0" fillId="6" borderId="4" xfId="0" applyFill="1" applyBorder="1"/>
    <xf numFmtId="0" fontId="0" fillId="6" borderId="4" xfId="0" applyFill="1" applyBorder="1" applyAlignment="1">
      <alignment horizontal="center"/>
    </xf>
    <xf numFmtId="0" fontId="0" fillId="6" borderId="8" xfId="0" applyFill="1" applyBorder="1"/>
    <xf numFmtId="0" fontId="0" fillId="6" borderId="8" xfId="0" applyFill="1" applyBorder="1" applyAlignment="1">
      <alignment horizontal="center"/>
    </xf>
    <xf numFmtId="1" fontId="0" fillId="6" borderId="4" xfId="0" applyNumberFormat="1" applyFill="1" applyBorder="1" applyAlignment="1">
      <alignment wrapText="1"/>
    </xf>
    <xf numFmtId="0" fontId="0" fillId="6" borderId="3" xfId="0" applyFill="1" applyBorder="1"/>
    <xf numFmtId="0" fontId="0" fillId="6" borderId="3" xfId="0" applyFill="1" applyBorder="1" applyAlignment="1">
      <alignment wrapText="1"/>
    </xf>
    <xf numFmtId="0" fontId="0" fillId="6" borderId="3" xfId="0" applyFill="1" applyBorder="1" applyAlignment="1">
      <alignment horizontal="center"/>
    </xf>
    <xf numFmtId="49" fontId="0" fillId="6" borderId="3" xfId="0" applyNumberFormat="1" applyFill="1" applyBorder="1" applyAlignment="1">
      <alignment textRotation="90" wrapText="1"/>
    </xf>
    <xf numFmtId="0" fontId="0" fillId="6" borderId="5" xfId="0" applyFill="1" applyBorder="1"/>
    <xf numFmtId="0" fontId="0" fillId="6" borderId="5" xfId="0" applyFill="1" applyBorder="1" applyAlignment="1">
      <alignment wrapText="1"/>
    </xf>
    <xf numFmtId="0" fontId="0" fillId="6" borderId="5" xfId="0" applyFill="1" applyBorder="1" applyAlignment="1">
      <alignment horizontal="center"/>
    </xf>
    <xf numFmtId="49" fontId="0" fillId="6" borderId="5" xfId="0" applyNumberFormat="1" applyFill="1" applyBorder="1" applyAlignment="1">
      <alignment textRotation="90" wrapText="1"/>
    </xf>
    <xf numFmtId="0" fontId="0" fillId="6" borderId="15" xfId="0" applyFill="1" applyBorder="1"/>
    <xf numFmtId="0" fontId="0" fillId="6" borderId="15" xfId="0" applyFill="1" applyBorder="1" applyAlignment="1">
      <alignment wrapText="1"/>
    </xf>
    <xf numFmtId="0" fontId="0" fillId="6" borderId="15" xfId="0" applyFill="1" applyBorder="1" applyAlignment="1">
      <alignment horizontal="center"/>
    </xf>
    <xf numFmtId="49" fontId="0" fillId="6" borderId="15" xfId="0" applyNumberFormat="1" applyFill="1" applyBorder="1" applyAlignment="1">
      <alignment textRotation="90" wrapText="1"/>
    </xf>
    <xf numFmtId="0" fontId="0" fillId="6" borderId="16" xfId="0" applyFill="1" applyBorder="1"/>
    <xf numFmtId="0" fontId="0" fillId="6" borderId="17" xfId="0" applyFill="1" applyBorder="1"/>
    <xf numFmtId="0" fontId="0" fillId="6" borderId="16" xfId="0" applyFill="1" applyBorder="1" applyAlignment="1">
      <alignment wrapText="1"/>
    </xf>
    <xf numFmtId="0" fontId="0" fillId="6" borderId="16" xfId="0" applyFill="1" applyBorder="1" applyAlignment="1">
      <alignment horizontal="center"/>
    </xf>
    <xf numFmtId="49" fontId="0" fillId="6" borderId="16" xfId="0" applyNumberFormat="1" applyFill="1" applyBorder="1" applyAlignment="1">
      <alignment textRotation="90" wrapText="1"/>
    </xf>
    <xf numFmtId="0" fontId="0" fillId="6" borderId="11" xfId="0" applyFill="1" applyBorder="1"/>
    <xf numFmtId="0" fontId="0" fillId="6" borderId="11" xfId="0" applyFill="1" applyBorder="1" applyAlignment="1">
      <alignment horizontal="center"/>
    </xf>
    <xf numFmtId="0" fontId="0" fillId="0" borderId="26"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27" xfId="0" applyBorder="1" applyAlignment="1">
      <alignment vertical="top" wrapText="1"/>
    </xf>
    <xf numFmtId="0" fontId="0" fillId="0" borderId="28" xfId="0" applyBorder="1" applyAlignment="1">
      <alignment wrapText="1"/>
    </xf>
    <xf numFmtId="0" fontId="0" fillId="0" borderId="16" xfId="0" applyBorder="1" applyAlignment="1">
      <alignment vertical="top" wrapText="1"/>
    </xf>
    <xf numFmtId="0" fontId="0" fillId="3" borderId="17" xfId="0" applyFill="1" applyBorder="1"/>
    <xf numFmtId="14" fontId="0" fillId="0" borderId="14" xfId="0" applyNumberFormat="1" applyBorder="1"/>
    <xf numFmtId="164" fontId="0" fillId="0" borderId="4" xfId="0" applyNumberFormat="1" applyBorder="1"/>
    <xf numFmtId="164" fontId="0" fillId="0" borderId="1" xfId="0" applyNumberFormat="1" applyBorder="1"/>
    <xf numFmtId="164" fontId="0" fillId="0" borderId="16" xfId="0" applyNumberFormat="1" applyBorder="1"/>
    <xf numFmtId="0" fontId="0" fillId="7" borderId="1" xfId="0" applyFill="1" applyBorder="1" applyAlignment="1">
      <alignment wrapText="1"/>
    </xf>
    <xf numFmtId="49" fontId="0" fillId="8" borderId="1" xfId="0" applyNumberFormat="1" applyFill="1" applyBorder="1"/>
    <xf numFmtId="0" fontId="0" fillId="8" borderId="4" xfId="0" applyFill="1" applyBorder="1"/>
    <xf numFmtId="0" fontId="0" fillId="8" borderId="4" xfId="0" applyFill="1" applyBorder="1" applyAlignment="1">
      <alignment wrapText="1"/>
    </xf>
    <xf numFmtId="49" fontId="0" fillId="8" borderId="4" xfId="0" applyNumberFormat="1" applyFill="1" applyBorder="1" applyAlignment="1">
      <alignment wrapText="1"/>
    </xf>
    <xf numFmtId="49" fontId="0" fillId="8" borderId="4" xfId="0" applyNumberFormat="1" applyFill="1" applyBorder="1" applyAlignment="1">
      <alignment textRotation="90" wrapText="1"/>
    </xf>
    <xf numFmtId="0" fontId="0" fillId="8" borderId="4" xfId="0" applyFill="1" applyBorder="1" applyAlignment="1">
      <alignment horizontal="center"/>
    </xf>
    <xf numFmtId="0" fontId="0" fillId="8" borderId="4" xfId="0" applyFill="1" applyBorder="1" applyAlignment="1">
      <alignment vertical="top" wrapText="1"/>
    </xf>
    <xf numFmtId="49" fontId="0" fillId="6" borderId="1" xfId="0" applyNumberFormat="1" applyFill="1" applyBorder="1" applyAlignment="1">
      <alignment wrapText="1"/>
    </xf>
    <xf numFmtId="165" fontId="0" fillId="4" borderId="4" xfId="0" applyNumberFormat="1" applyFill="1" applyBorder="1"/>
    <xf numFmtId="165" fontId="0" fillId="4" borderId="16" xfId="0" applyNumberFormat="1" applyFill="1" applyBorder="1"/>
    <xf numFmtId="165" fontId="0" fillId="4" borderId="7" xfId="0" applyNumberFormat="1" applyFill="1" applyBorder="1" applyAlignment="1">
      <alignment wrapText="1"/>
    </xf>
    <xf numFmtId="165" fontId="0" fillId="4" borderId="1" xfId="0" applyNumberFormat="1" applyFill="1" applyBorder="1" applyAlignment="1">
      <alignment wrapText="1"/>
    </xf>
    <xf numFmtId="165" fontId="0" fillId="4" borderId="8" xfId="0" applyNumberFormat="1" applyFill="1" applyBorder="1" applyAlignment="1">
      <alignment wrapText="1"/>
    </xf>
    <xf numFmtId="165" fontId="0" fillId="4" borderId="11" xfId="0" applyNumberFormat="1" applyFill="1" applyBorder="1" applyAlignment="1">
      <alignment wrapText="1"/>
    </xf>
    <xf numFmtId="165" fontId="0" fillId="4" borderId="4" xfId="0" applyNumberFormat="1" applyFill="1" applyBorder="1" applyAlignment="1">
      <alignment wrapText="1"/>
    </xf>
    <xf numFmtId="165" fontId="0" fillId="4" borderId="3" xfId="0" applyNumberFormat="1" applyFill="1" applyBorder="1"/>
    <xf numFmtId="165" fontId="0" fillId="4" borderId="5" xfId="0" applyNumberFormat="1" applyFill="1" applyBorder="1"/>
    <xf numFmtId="165" fontId="0" fillId="4" borderId="1" xfId="0" applyNumberFormat="1" applyFill="1" applyBorder="1"/>
    <xf numFmtId="165" fontId="0" fillId="4" borderId="8" xfId="0" applyNumberFormat="1" applyFill="1" applyBorder="1"/>
    <xf numFmtId="165" fontId="0" fillId="4" borderId="7" xfId="0" applyNumberFormat="1" applyFill="1" applyBorder="1"/>
    <xf numFmtId="165" fontId="0" fillId="4" borderId="15" xfId="0" applyNumberFormat="1" applyFill="1" applyBorder="1"/>
    <xf numFmtId="46" fontId="0" fillId="0" borderId="1" xfId="0" applyNumberFormat="1" applyBorder="1"/>
    <xf numFmtId="49" fontId="0" fillId="6" borderId="4" xfId="0" applyNumberFormat="1" applyFill="1" applyBorder="1" applyAlignment="1">
      <alignment wrapText="1"/>
    </xf>
    <xf numFmtId="46" fontId="0" fillId="0" borderId="16" xfId="0" applyNumberFormat="1" applyBorder="1"/>
    <xf numFmtId="49" fontId="0" fillId="6" borderId="16" xfId="0" applyNumberFormat="1" applyFill="1" applyBorder="1" applyAlignment="1">
      <alignment wrapText="1"/>
    </xf>
    <xf numFmtId="49" fontId="0" fillId="2" borderId="4" xfId="0" applyNumberFormat="1" applyFill="1" applyBorder="1"/>
    <xf numFmtId="46" fontId="0" fillId="0" borderId="4" xfId="0" applyNumberFormat="1" applyBorder="1"/>
    <xf numFmtId="49" fontId="0" fillId="3" borderId="4" xfId="0" applyNumberFormat="1" applyFill="1" applyBorder="1"/>
    <xf numFmtId="49" fontId="0" fillId="6" borderId="4" xfId="0" applyNumberFormat="1" applyFill="1" applyBorder="1"/>
    <xf numFmtId="49" fontId="0" fillId="6" borderId="4" xfId="0" applyNumberFormat="1" applyFill="1" applyBorder="1" applyAlignment="1">
      <alignment horizontal="center"/>
    </xf>
    <xf numFmtId="49" fontId="0" fillId="2" borderId="16" xfId="0" applyNumberFormat="1" applyFill="1" applyBorder="1"/>
    <xf numFmtId="49" fontId="0" fillId="3" borderId="16" xfId="0" applyNumberFormat="1" applyFill="1" applyBorder="1"/>
    <xf numFmtId="49" fontId="0" fillId="6" borderId="16" xfId="0" applyNumberFormat="1" applyFill="1" applyBorder="1"/>
    <xf numFmtId="49" fontId="0" fillId="6" borderId="16" xfId="0" applyNumberFormat="1" applyFill="1" applyBorder="1" applyAlignment="1">
      <alignment horizontal="center"/>
    </xf>
    <xf numFmtId="49" fontId="0" fillId="2" borderId="0" xfId="0" applyNumberFormat="1" applyFill="1" applyBorder="1"/>
    <xf numFmtId="49" fontId="0" fillId="2" borderId="1" xfId="0" applyNumberFormat="1" applyFill="1" applyBorder="1"/>
    <xf numFmtId="49" fontId="0" fillId="3" borderId="1" xfId="0" applyNumberFormat="1" applyFill="1" applyBorder="1"/>
    <xf numFmtId="49" fontId="0" fillId="6" borderId="1" xfId="0" applyNumberFormat="1" applyFill="1" applyBorder="1"/>
    <xf numFmtId="14" fontId="0" fillId="0" borderId="29" xfId="0" applyNumberFormat="1" applyBorder="1"/>
    <xf numFmtId="49" fontId="0" fillId="0" borderId="29" xfId="0" applyNumberFormat="1" applyBorder="1"/>
    <xf numFmtId="49" fontId="0" fillId="2" borderId="29" xfId="0" applyNumberFormat="1" applyFill="1" applyBorder="1"/>
    <xf numFmtId="49" fontId="0" fillId="2" borderId="29" xfId="0" applyNumberFormat="1" applyFill="1" applyBorder="1" applyAlignment="1">
      <alignment wrapText="1"/>
    </xf>
    <xf numFmtId="49" fontId="0" fillId="3" borderId="29" xfId="0" applyNumberFormat="1" applyFill="1" applyBorder="1" applyAlignment="1">
      <alignment wrapText="1"/>
    </xf>
    <xf numFmtId="49" fontId="0" fillId="3" borderId="29" xfId="0" applyNumberFormat="1" applyFill="1" applyBorder="1"/>
    <xf numFmtId="49" fontId="0" fillId="6" borderId="29" xfId="0" applyNumberFormat="1" applyFill="1" applyBorder="1"/>
    <xf numFmtId="0" fontId="0" fillId="6" borderId="29" xfId="0" applyFill="1" applyBorder="1"/>
    <xf numFmtId="0" fontId="0" fillId="6" borderId="29" xfId="0" applyFill="1" applyBorder="1" applyAlignment="1">
      <alignment wrapText="1"/>
    </xf>
    <xf numFmtId="49" fontId="0" fillId="6" borderId="29" xfId="0" applyNumberFormat="1" applyFill="1" applyBorder="1" applyAlignment="1">
      <alignment wrapText="1"/>
    </xf>
    <xf numFmtId="165" fontId="0" fillId="4" borderId="29" xfId="0" applyNumberFormat="1" applyFill="1" applyBorder="1"/>
    <xf numFmtId="0" fontId="0" fillId="4" borderId="29" xfId="0" applyFill="1" applyBorder="1"/>
    <xf numFmtId="0" fontId="0" fillId="0" borderId="29" xfId="0" applyBorder="1" applyAlignment="1">
      <alignment vertical="top" wrapText="1"/>
    </xf>
    <xf numFmtId="0" fontId="0" fillId="4" borderId="3" xfId="0" applyFill="1" applyBorder="1" applyAlignment="1">
      <alignment wrapText="1"/>
    </xf>
    <xf numFmtId="0" fontId="0" fillId="5" borderId="15" xfId="0" applyFill="1" applyBorder="1" applyAlignment="1">
      <alignment wrapText="1"/>
    </xf>
    <xf numFmtId="0" fontId="0" fillId="5" borderId="8" xfId="0" applyFill="1" applyBorder="1" applyAlignment="1">
      <alignment wrapText="1"/>
    </xf>
    <xf numFmtId="0" fontId="0" fillId="10" borderId="1" xfId="0" applyFill="1" applyBorder="1" applyAlignment="1">
      <alignment wrapText="1"/>
    </xf>
    <xf numFmtId="0" fontId="0" fillId="11" borderId="1" xfId="0" applyFill="1" applyBorder="1" applyAlignment="1">
      <alignment wrapText="1"/>
    </xf>
    <xf numFmtId="0" fontId="0" fillId="12" borderId="1" xfId="0" applyFill="1" applyBorder="1" applyAlignment="1">
      <alignment wrapText="1"/>
    </xf>
    <xf numFmtId="0" fontId="0" fillId="4" borderId="16" xfId="0" applyFill="1" applyBorder="1" applyAlignment="1">
      <alignment wrapText="1"/>
    </xf>
    <xf numFmtId="0" fontId="0" fillId="10" borderId="16" xfId="0" applyFill="1" applyBorder="1" applyAlignment="1">
      <alignment wrapText="1"/>
    </xf>
    <xf numFmtId="0" fontId="0" fillId="10" borderId="4" xfId="0" applyFill="1" applyBorder="1" applyAlignment="1">
      <alignment wrapText="1"/>
    </xf>
    <xf numFmtId="49" fontId="0" fillId="4" borderId="1" xfId="0" applyNumberFormat="1" applyFill="1" applyBorder="1" applyAlignment="1">
      <alignment wrapText="1"/>
    </xf>
    <xf numFmtId="49" fontId="0" fillId="13" borderId="4" xfId="0" applyNumberFormat="1" applyFill="1" applyBorder="1" applyAlignment="1">
      <alignment wrapText="1"/>
    </xf>
    <xf numFmtId="49" fontId="0" fillId="13" borderId="16" xfId="0" applyNumberFormat="1" applyFill="1" applyBorder="1" applyAlignment="1">
      <alignment wrapText="1"/>
    </xf>
    <xf numFmtId="49" fontId="0" fillId="10" borderId="4" xfId="0" applyNumberFormat="1" applyFill="1" applyBorder="1" applyAlignment="1">
      <alignment wrapText="1"/>
    </xf>
    <xf numFmtId="49" fontId="0" fillId="9" borderId="4" xfId="0" applyNumberFormat="1" applyFill="1" applyBorder="1" applyAlignment="1">
      <alignment wrapText="1"/>
    </xf>
    <xf numFmtId="49" fontId="0" fillId="9" borderId="29" xfId="0" applyNumberFormat="1" applyFill="1" applyBorder="1" applyAlignment="1">
      <alignment wrapText="1"/>
    </xf>
    <xf numFmtId="14" fontId="0" fillId="0" borderId="30" xfId="0" applyNumberFormat="1" applyBorder="1"/>
    <xf numFmtId="49" fontId="0" fillId="0" borderId="30" xfId="0" applyNumberFormat="1" applyBorder="1"/>
    <xf numFmtId="49" fontId="0" fillId="2" borderId="30" xfId="0" applyNumberFormat="1" applyFill="1" applyBorder="1"/>
    <xf numFmtId="49" fontId="0" fillId="2" borderId="30" xfId="0" applyNumberFormat="1" applyFill="1" applyBorder="1" applyAlignment="1">
      <alignment wrapText="1"/>
    </xf>
    <xf numFmtId="49" fontId="0" fillId="9" borderId="30" xfId="0" applyNumberFormat="1" applyFill="1" applyBorder="1" applyAlignment="1">
      <alignment wrapText="1"/>
    </xf>
    <xf numFmtId="49" fontId="0" fillId="3" borderId="30" xfId="0" applyNumberFormat="1" applyFill="1" applyBorder="1" applyAlignment="1">
      <alignment wrapText="1"/>
    </xf>
    <xf numFmtId="49" fontId="0" fillId="3" borderId="30" xfId="0" applyNumberFormat="1" applyFill="1" applyBorder="1"/>
    <xf numFmtId="49" fontId="0" fillId="6" borderId="30" xfId="0" applyNumberFormat="1" applyFill="1" applyBorder="1"/>
    <xf numFmtId="0" fontId="0" fillId="6" borderId="30" xfId="0" applyFill="1" applyBorder="1"/>
    <xf numFmtId="0" fontId="0" fillId="6" borderId="30" xfId="0" applyFill="1" applyBorder="1" applyAlignment="1">
      <alignment wrapText="1"/>
    </xf>
    <xf numFmtId="49" fontId="0" fillId="6" borderId="30" xfId="0" applyNumberFormat="1" applyFill="1" applyBorder="1" applyAlignment="1">
      <alignment wrapText="1"/>
    </xf>
    <xf numFmtId="165" fontId="0" fillId="4" borderId="30" xfId="0" applyNumberFormat="1" applyFill="1" applyBorder="1"/>
    <xf numFmtId="0" fontId="0" fillId="4" borderId="30" xfId="0" applyFill="1" applyBorder="1"/>
    <xf numFmtId="0" fontId="0" fillId="0" borderId="30" xfId="0" applyBorder="1" applyAlignment="1">
      <alignment vertical="top" wrapText="1"/>
    </xf>
    <xf numFmtId="0" fontId="0" fillId="2" borderId="29" xfId="0" applyFill="1" applyBorder="1"/>
    <xf numFmtId="0" fontId="0" fillId="2" borderId="29" xfId="0" applyFill="1" applyBorder="1" applyAlignment="1">
      <alignment wrapText="1"/>
    </xf>
    <xf numFmtId="49" fontId="0" fillId="3" borderId="29" xfId="0" applyNumberFormat="1" applyFill="1" applyBorder="1" applyAlignment="1">
      <alignment textRotation="90" wrapText="1"/>
    </xf>
    <xf numFmtId="0" fontId="0" fillId="3" borderId="29" xfId="0" applyFill="1" applyBorder="1"/>
    <xf numFmtId="0" fontId="0" fillId="6" borderId="32" xfId="0" applyFill="1" applyBorder="1"/>
    <xf numFmtId="0" fontId="0" fillId="6" borderId="31" xfId="0" applyFill="1" applyBorder="1"/>
    <xf numFmtId="49" fontId="0" fillId="2" borderId="33" xfId="0" applyNumberFormat="1" applyFill="1" applyBorder="1"/>
    <xf numFmtId="0" fontId="0" fillId="2" borderId="23" xfId="0" applyFill="1" applyBorder="1"/>
    <xf numFmtId="0" fontId="0" fillId="2" borderId="32" xfId="0" applyFill="1" applyBorder="1"/>
    <xf numFmtId="49" fontId="0" fillId="2" borderId="3" xfId="0" applyNumberFormat="1" applyFill="1" applyBorder="1"/>
    <xf numFmtId="49" fontId="0" fillId="0" borderId="35" xfId="0" applyNumberFormat="1" applyBorder="1"/>
    <xf numFmtId="49" fontId="0" fillId="2" borderId="36" xfId="0" applyNumberFormat="1" applyFill="1" applyBorder="1"/>
    <xf numFmtId="0" fontId="0" fillId="2" borderId="38" xfId="0" applyFill="1" applyBorder="1"/>
    <xf numFmtId="49" fontId="0" fillId="0" borderId="40" xfId="0" applyNumberFormat="1" applyBorder="1"/>
    <xf numFmtId="0" fontId="0" fillId="2" borderId="41" xfId="0" applyFill="1" applyBorder="1"/>
    <xf numFmtId="0" fontId="0" fillId="8" borderId="1" xfId="0" applyFill="1" applyBorder="1" applyAlignment="1">
      <alignment vertical="top" wrapText="1"/>
    </xf>
    <xf numFmtId="0" fontId="0" fillId="5" borderId="4" xfId="0" applyFill="1" applyBorder="1" applyAlignment="1">
      <alignment vertical="top" wrapText="1"/>
    </xf>
    <xf numFmtId="0" fontId="0" fillId="2" borderId="42" xfId="0" applyFill="1" applyBorder="1"/>
    <xf numFmtId="49" fontId="0" fillId="6" borderId="3" xfId="0" applyNumberFormat="1" applyFill="1" applyBorder="1"/>
    <xf numFmtId="49" fontId="0" fillId="6" borderId="3" xfId="0" applyNumberFormat="1" applyFill="1" applyBorder="1" applyAlignment="1">
      <alignment wrapText="1"/>
    </xf>
    <xf numFmtId="0" fontId="0" fillId="2" borderId="43" xfId="0" applyFill="1" applyBorder="1"/>
    <xf numFmtId="49" fontId="0" fillId="0" borderId="3" xfId="0" applyNumberFormat="1" applyBorder="1" applyAlignment="1">
      <alignment wrapText="1"/>
    </xf>
    <xf numFmtId="49" fontId="0" fillId="0" borderId="7" xfId="0" applyNumberFormat="1" applyBorder="1"/>
    <xf numFmtId="0" fontId="0" fillId="2" borderId="26" xfId="0" applyFill="1" applyBorder="1"/>
    <xf numFmtId="0" fontId="0" fillId="2" borderId="7" xfId="0" applyFill="1" applyBorder="1"/>
    <xf numFmtId="0" fontId="0" fillId="3" borderId="7" xfId="0" applyFill="1" applyBorder="1"/>
    <xf numFmtId="49" fontId="0" fillId="6" borderId="7" xfId="0" applyNumberFormat="1" applyFill="1" applyBorder="1"/>
    <xf numFmtId="0" fontId="0" fillId="6" borderId="7" xfId="0" applyFill="1" applyBorder="1"/>
    <xf numFmtId="49" fontId="0" fillId="6" borderId="7" xfId="0" applyNumberFormat="1" applyFill="1" applyBorder="1" applyAlignment="1">
      <alignment wrapText="1"/>
    </xf>
    <xf numFmtId="49" fontId="0" fillId="0" borderId="0" xfId="0" applyNumberFormat="1" applyBorder="1" applyAlignment="1">
      <alignment wrapText="1"/>
    </xf>
    <xf numFmtId="0" fontId="0" fillId="0" borderId="0" xfId="0" applyBorder="1" applyAlignment="1">
      <alignment wrapText="1"/>
    </xf>
    <xf numFmtId="0" fontId="6" fillId="0" borderId="0" xfId="0" applyFont="1" applyBorder="1"/>
    <xf numFmtId="49" fontId="0" fillId="0" borderId="0" xfId="0" applyNumberFormat="1" applyBorder="1"/>
    <xf numFmtId="0" fontId="0" fillId="0" borderId="0" xfId="0" applyBorder="1"/>
    <xf numFmtId="49" fontId="0" fillId="0" borderId="0" xfId="0" applyNumberFormat="1" applyBorder="1" applyAlignment="1">
      <alignment textRotation="90" wrapText="1"/>
    </xf>
    <xf numFmtId="0" fontId="0" fillId="0" borderId="0" xfId="0" applyBorder="1" applyAlignment="1">
      <alignment horizontal="center"/>
    </xf>
    <xf numFmtId="14" fontId="7" fillId="14" borderId="4" xfId="1" applyNumberFormat="1" applyBorder="1"/>
    <xf numFmtId="14" fontId="7" fillId="14" borderId="1" xfId="1" applyNumberFormat="1" applyBorder="1"/>
    <xf numFmtId="14" fontId="7" fillId="14" borderId="3" xfId="1" applyNumberFormat="1" applyBorder="1"/>
    <xf numFmtId="14" fontId="7" fillId="14" borderId="34" xfId="1" applyNumberFormat="1" applyBorder="1"/>
    <xf numFmtId="14" fontId="7" fillId="14" borderId="37" xfId="1" applyNumberFormat="1" applyBorder="1"/>
    <xf numFmtId="14" fontId="7" fillId="14" borderId="39" xfId="1" applyNumberFormat="1" applyBorder="1"/>
    <xf numFmtId="14" fontId="7" fillId="14" borderId="42" xfId="1" applyNumberFormat="1" applyBorder="1"/>
    <xf numFmtId="14" fontId="7" fillId="14" borderId="26" xfId="1" applyNumberFormat="1" applyBorder="1"/>
    <xf numFmtId="16" fontId="7" fillId="14" borderId="11" xfId="1" applyNumberFormat="1" applyBorder="1" applyAlignment="1">
      <alignment wrapText="1"/>
    </xf>
    <xf numFmtId="16" fontId="7" fillId="14" borderId="8" xfId="1" applyNumberFormat="1" applyBorder="1" applyAlignment="1">
      <alignment wrapText="1"/>
    </xf>
    <xf numFmtId="16" fontId="7" fillId="14" borderId="4" xfId="1" applyNumberFormat="1" applyBorder="1" applyAlignment="1">
      <alignment wrapText="1"/>
    </xf>
    <xf numFmtId="16" fontId="7" fillId="14" borderId="1" xfId="1" applyNumberFormat="1" applyBorder="1" applyAlignment="1">
      <alignment wrapText="1"/>
    </xf>
    <xf numFmtId="0" fontId="0" fillId="15" borderId="0" xfId="0" applyFill="1"/>
    <xf numFmtId="14" fontId="0" fillId="15" borderId="4" xfId="0" applyNumberFormat="1" applyFill="1" applyBorder="1"/>
    <xf numFmtId="49" fontId="0" fillId="15" borderId="4" xfId="0" applyNumberFormat="1" applyFill="1" applyBorder="1"/>
    <xf numFmtId="49" fontId="0" fillId="15" borderId="4" xfId="0" applyNumberFormat="1" applyFill="1" applyBorder="1" applyAlignment="1">
      <alignment wrapText="1"/>
    </xf>
    <xf numFmtId="0" fontId="0" fillId="15" borderId="4" xfId="0" applyFill="1" applyBorder="1"/>
    <xf numFmtId="0" fontId="0" fillId="15" borderId="4" xfId="0" applyFill="1" applyBorder="1" applyAlignment="1">
      <alignment wrapText="1"/>
    </xf>
    <xf numFmtId="165" fontId="0" fillId="15" borderId="4" xfId="0" applyNumberFormat="1" applyFill="1" applyBorder="1"/>
    <xf numFmtId="0" fontId="0" fillId="15" borderId="4" xfId="0" applyFill="1" applyBorder="1" applyAlignment="1">
      <alignment vertical="top" wrapText="1"/>
    </xf>
    <xf numFmtId="0" fontId="1" fillId="0" borderId="1" xfId="0" applyFont="1" applyBorder="1"/>
    <xf numFmtId="0" fontId="0" fillId="15" borderId="1" xfId="0" applyFill="1" applyBorder="1"/>
    <xf numFmtId="49" fontId="0" fillId="8" borderId="4" xfId="0" applyNumberFormat="1" applyFill="1" applyBorder="1"/>
    <xf numFmtId="14" fontId="7" fillId="14" borderId="44" xfId="1" applyNumberFormat="1" applyBorder="1"/>
    <xf numFmtId="49" fontId="6" fillId="0" borderId="0" xfId="0" applyNumberFormat="1" applyFont="1" applyBorder="1"/>
    <xf numFmtId="49" fontId="7" fillId="14" borderId="11" xfId="1" applyNumberFormat="1" applyBorder="1" applyAlignment="1">
      <alignment wrapText="1"/>
    </xf>
    <xf numFmtId="49" fontId="7" fillId="14" borderId="4" xfId="1" applyNumberFormat="1" applyBorder="1" applyAlignment="1">
      <alignment wrapText="1"/>
    </xf>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29</xdr:col>
      <xdr:colOff>81643</xdr:colOff>
      <xdr:row>101</xdr:row>
      <xdr:rowOff>408214</xdr:rowOff>
    </xdr:from>
    <xdr:to>
      <xdr:col>33</xdr:col>
      <xdr:colOff>200553</xdr:colOff>
      <xdr:row>101</xdr:row>
      <xdr:rowOff>798392</xdr:rowOff>
    </xdr:to>
    <xdr:pic>
      <xdr:nvPicPr>
        <xdr:cNvPr id="12" name="Picture 11"/>
        <xdr:cNvPicPr>
          <a:picLocks noChangeAspect="1"/>
        </xdr:cNvPicPr>
      </xdr:nvPicPr>
      <xdr:blipFill>
        <a:blip xmlns:r="http://schemas.openxmlformats.org/officeDocument/2006/relationships" r:embed="rId1" cstate="print"/>
        <a:stretch>
          <a:fillRect/>
        </a:stretch>
      </xdr:blipFill>
      <xdr:spPr>
        <a:xfrm>
          <a:off x="15580179" y="67246500"/>
          <a:ext cx="6718374" cy="390178"/>
        </a:xfrm>
        <a:prstGeom prst="rect">
          <a:avLst/>
        </a:prstGeom>
      </xdr:spPr>
    </xdr:pic>
    <xdr:clientData/>
  </xdr:twoCellAnchor>
  <xdr:twoCellAnchor editAs="oneCell">
    <xdr:from>
      <xdr:col>29</xdr:col>
      <xdr:colOff>122463</xdr:colOff>
      <xdr:row>102</xdr:row>
      <xdr:rowOff>367389</xdr:rowOff>
    </xdr:from>
    <xdr:to>
      <xdr:col>29</xdr:col>
      <xdr:colOff>3179988</xdr:colOff>
      <xdr:row>102</xdr:row>
      <xdr:rowOff>757914</xdr:rowOff>
    </xdr:to>
    <xdr:pic>
      <xdr:nvPicPr>
        <xdr:cNvPr id="14" name="Picture 1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620999" y="68076532"/>
          <a:ext cx="30575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693964</xdr:colOff>
      <xdr:row>103</xdr:row>
      <xdr:rowOff>324050</xdr:rowOff>
    </xdr:from>
    <xdr:to>
      <xdr:col>29</xdr:col>
      <xdr:colOff>4585607</xdr:colOff>
      <xdr:row>103</xdr:row>
      <xdr:rowOff>851260</xdr:rowOff>
    </xdr:to>
    <xdr:pic>
      <xdr:nvPicPr>
        <xdr:cNvPr id="20" name="Picture 19"/>
        <xdr:cNvPicPr>
          <a:picLocks noChangeAspect="1"/>
        </xdr:cNvPicPr>
      </xdr:nvPicPr>
      <xdr:blipFill>
        <a:blip xmlns:r="http://schemas.openxmlformats.org/officeDocument/2006/relationships" r:embed="rId3" cstate="print"/>
        <a:stretch>
          <a:fillRect/>
        </a:stretch>
      </xdr:blipFill>
      <xdr:spPr>
        <a:xfrm>
          <a:off x="16192500" y="71516621"/>
          <a:ext cx="3891643" cy="527210"/>
        </a:xfrm>
        <a:prstGeom prst="rect">
          <a:avLst/>
        </a:prstGeom>
      </xdr:spPr>
    </xdr:pic>
    <xdr:clientData/>
  </xdr:twoCellAnchor>
  <xdr:twoCellAnchor editAs="oneCell">
    <xdr:from>
      <xdr:col>29</xdr:col>
      <xdr:colOff>1034132</xdr:colOff>
      <xdr:row>104</xdr:row>
      <xdr:rowOff>421817</xdr:rowOff>
    </xdr:from>
    <xdr:to>
      <xdr:col>29</xdr:col>
      <xdr:colOff>4701257</xdr:colOff>
      <xdr:row>104</xdr:row>
      <xdr:rowOff>812342</xdr:rowOff>
    </xdr:to>
    <xdr:pic>
      <xdr:nvPicPr>
        <xdr:cNvPr id="22" name="Picture 21"/>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532668" y="72485246"/>
          <a:ext cx="36671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81643</xdr:colOff>
      <xdr:row>18</xdr:row>
      <xdr:rowOff>408214</xdr:rowOff>
    </xdr:from>
    <xdr:to>
      <xdr:col>34</xdr:col>
      <xdr:colOff>200553</xdr:colOff>
      <xdr:row>21</xdr:row>
      <xdr:rowOff>64967</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15559768" y="69969289"/>
          <a:ext cx="6710210" cy="390178"/>
        </a:xfrm>
        <a:prstGeom prst="rect">
          <a:avLst/>
        </a:prstGeom>
      </xdr:spPr>
    </xdr:pic>
    <xdr:clientData/>
  </xdr:twoCellAnchor>
  <xdr:twoCellAnchor editAs="oneCell">
    <xdr:from>
      <xdr:col>30</xdr:col>
      <xdr:colOff>122463</xdr:colOff>
      <xdr:row>19</xdr:row>
      <xdr:rowOff>367389</xdr:rowOff>
    </xdr:from>
    <xdr:to>
      <xdr:col>30</xdr:col>
      <xdr:colOff>3179988</xdr:colOff>
      <xdr:row>22</xdr:row>
      <xdr:rowOff>62589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600588" y="70795239"/>
          <a:ext cx="30575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693964</xdr:colOff>
      <xdr:row>20</xdr:row>
      <xdr:rowOff>324050</xdr:rowOff>
    </xdr:from>
    <xdr:to>
      <xdr:col>30</xdr:col>
      <xdr:colOff>4585607</xdr:colOff>
      <xdr:row>24</xdr:row>
      <xdr:rowOff>41635</xdr:rowOff>
    </xdr:to>
    <xdr:pic>
      <xdr:nvPicPr>
        <xdr:cNvPr id="4" name="Picture 3"/>
        <xdr:cNvPicPr>
          <a:picLocks noChangeAspect="1"/>
        </xdr:cNvPicPr>
      </xdr:nvPicPr>
      <xdr:blipFill>
        <a:blip xmlns:r="http://schemas.openxmlformats.org/officeDocument/2006/relationships" r:embed="rId3" cstate="print"/>
        <a:stretch>
          <a:fillRect/>
        </a:stretch>
      </xdr:blipFill>
      <xdr:spPr>
        <a:xfrm>
          <a:off x="16172089" y="71618675"/>
          <a:ext cx="3891643" cy="527210"/>
        </a:xfrm>
        <a:prstGeom prst="rect">
          <a:avLst/>
        </a:prstGeom>
      </xdr:spPr>
    </xdr:pic>
    <xdr:clientData/>
  </xdr:twoCellAnchor>
  <xdr:twoCellAnchor editAs="oneCell">
    <xdr:from>
      <xdr:col>30</xdr:col>
      <xdr:colOff>1034132</xdr:colOff>
      <xdr:row>21</xdr:row>
      <xdr:rowOff>421817</xdr:rowOff>
    </xdr:from>
    <xdr:to>
      <xdr:col>30</xdr:col>
      <xdr:colOff>4701257</xdr:colOff>
      <xdr:row>24</xdr:row>
      <xdr:rowOff>69392</xdr:rowOff>
    </xdr:to>
    <xdr:pic>
      <xdr:nvPicPr>
        <xdr:cNvPr id="5" name="Picture 4"/>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512257" y="72583217"/>
          <a:ext cx="36671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34"/>
  <sheetViews>
    <sheetView tabSelected="1" zoomScale="90" zoomScaleNormal="90" workbookViewId="0">
      <pane ySplit="3" topLeftCell="A4" activePane="bottomLeft" state="frozen"/>
      <selection pane="bottomLeft" activeCell="B4" sqref="B4"/>
    </sheetView>
  </sheetViews>
  <sheetFormatPr defaultRowHeight="12.75" x14ac:dyDescent="0.2"/>
  <cols>
    <col min="1" max="1" width="11.7109375" customWidth="1"/>
    <col min="2" max="2" width="15.5703125" style="8" customWidth="1"/>
    <col min="3" max="3" width="7.7109375" customWidth="1"/>
    <col min="4" max="4" width="5.140625" customWidth="1"/>
    <col min="5" max="5" width="4.85546875" customWidth="1"/>
    <col min="6" max="6" width="10.140625" style="1" customWidth="1"/>
    <col min="7" max="7" width="6.28515625" style="101" customWidth="1"/>
    <col min="8" max="8" width="5.42578125" customWidth="1"/>
    <col min="9" max="9" width="13.28515625" style="10" customWidth="1"/>
    <col min="10" max="10" width="12.42578125" style="101" customWidth="1"/>
    <col min="11" max="11" width="10.5703125" customWidth="1"/>
    <col min="12" max="12" width="6.7109375" customWidth="1"/>
    <col min="13" max="13" width="9" style="10" customWidth="1"/>
    <col min="14" max="14" width="8" customWidth="1"/>
    <col min="15" max="15" width="10.140625" customWidth="1"/>
    <col min="16" max="16" width="3.7109375" customWidth="1"/>
    <col min="17" max="17" width="6" customWidth="1"/>
    <col min="18" max="18" width="5.5703125" customWidth="1"/>
    <col min="19" max="19" width="14.42578125" customWidth="1"/>
    <col min="21" max="21" width="8.5703125" style="1" customWidth="1"/>
    <col min="22" max="22" width="3" customWidth="1"/>
    <col min="23" max="24" width="6.28515625" customWidth="1"/>
    <col min="25" max="25" width="7.85546875" style="27" customWidth="1"/>
    <col min="26" max="26" width="5.85546875" style="10" customWidth="1"/>
    <col min="27" max="29" width="6.140625" customWidth="1"/>
    <col min="30" max="30" width="71.42578125" style="191" customWidth="1"/>
  </cols>
  <sheetData>
    <row r="1" spans="1:30" ht="20.25" customHeight="1" x14ac:dyDescent="0.3">
      <c r="A1" s="319" t="s">
        <v>27</v>
      </c>
      <c r="B1" s="320"/>
      <c r="C1" s="321"/>
      <c r="D1" s="321"/>
      <c r="E1" s="321"/>
      <c r="F1" s="318"/>
      <c r="G1" s="317"/>
      <c r="H1" s="321"/>
      <c r="I1" s="322"/>
      <c r="J1" s="317"/>
      <c r="K1" s="321"/>
      <c r="L1" s="321"/>
      <c r="M1" s="322"/>
      <c r="N1" s="321"/>
      <c r="O1" s="321"/>
      <c r="P1" s="321"/>
      <c r="Q1" s="321"/>
      <c r="R1" s="321"/>
      <c r="S1" s="321"/>
      <c r="T1" s="321"/>
      <c r="U1" s="318"/>
      <c r="V1" s="321"/>
      <c r="W1" s="321"/>
      <c r="X1" s="321"/>
      <c r="Y1" s="323"/>
      <c r="Z1" s="322"/>
      <c r="AA1" s="321"/>
      <c r="AB1" s="321"/>
      <c r="AC1" s="321"/>
    </row>
    <row r="2" spans="1:30" s="2" customFormat="1" x14ac:dyDescent="0.2">
      <c r="B2" s="13"/>
      <c r="D2" s="77" t="s">
        <v>0</v>
      </c>
      <c r="E2" s="3"/>
      <c r="F2" s="7"/>
      <c r="G2" s="9"/>
      <c r="H2" s="3"/>
      <c r="I2" s="11"/>
      <c r="J2" s="113" t="s">
        <v>5</v>
      </c>
      <c r="K2" s="4"/>
      <c r="L2" s="4"/>
      <c r="M2" s="24"/>
      <c r="N2" s="4"/>
      <c r="O2" s="4"/>
      <c r="P2" s="141" t="s">
        <v>13</v>
      </c>
      <c r="Q2" s="142"/>
      <c r="R2" s="142"/>
      <c r="S2" s="142"/>
      <c r="T2" s="142"/>
      <c r="U2" s="143"/>
      <c r="V2" s="142"/>
      <c r="W2" s="142"/>
      <c r="X2" s="142"/>
      <c r="Y2" s="144"/>
      <c r="Z2" s="145"/>
      <c r="AA2" s="78" t="s">
        <v>20</v>
      </c>
      <c r="AB2" s="5"/>
      <c r="AC2" s="5"/>
      <c r="AD2" s="192"/>
    </row>
    <row r="3" spans="1:30" s="140" customFormat="1" ht="135" thickBot="1" x14ac:dyDescent="0.25">
      <c r="A3" s="130" t="s">
        <v>52</v>
      </c>
      <c r="B3" s="131" t="s">
        <v>118</v>
      </c>
      <c r="C3" s="130" t="s">
        <v>32</v>
      </c>
      <c r="D3" s="132" t="s">
        <v>2</v>
      </c>
      <c r="E3" s="132" t="s">
        <v>3</v>
      </c>
      <c r="F3" s="133" t="s">
        <v>1</v>
      </c>
      <c r="G3" s="134" t="s">
        <v>4</v>
      </c>
      <c r="H3" s="132" t="s">
        <v>6</v>
      </c>
      <c r="I3" s="134" t="s">
        <v>7</v>
      </c>
      <c r="J3" s="135" t="s">
        <v>8</v>
      </c>
      <c r="K3" s="136" t="s">
        <v>12</v>
      </c>
      <c r="L3" s="137" t="s">
        <v>57</v>
      </c>
      <c r="M3" s="138" t="s">
        <v>9</v>
      </c>
      <c r="N3" s="136" t="s">
        <v>10</v>
      </c>
      <c r="O3" s="136" t="s">
        <v>11</v>
      </c>
      <c r="P3" s="146" t="s">
        <v>14</v>
      </c>
      <c r="Q3" s="146" t="s">
        <v>22</v>
      </c>
      <c r="R3" s="146" t="s">
        <v>23</v>
      </c>
      <c r="S3" s="146" t="s">
        <v>24</v>
      </c>
      <c r="T3" s="146" t="s">
        <v>25</v>
      </c>
      <c r="U3" s="146" t="s">
        <v>15</v>
      </c>
      <c r="V3" s="146" t="s">
        <v>16</v>
      </c>
      <c r="W3" s="146" t="s">
        <v>17</v>
      </c>
      <c r="X3" s="146" t="s">
        <v>26</v>
      </c>
      <c r="Y3" s="147" t="s">
        <v>18</v>
      </c>
      <c r="Z3" s="148" t="s">
        <v>19</v>
      </c>
      <c r="AA3" s="139" t="s">
        <v>56</v>
      </c>
      <c r="AB3" s="139" t="s">
        <v>55</v>
      </c>
      <c r="AC3" s="139" t="s">
        <v>54</v>
      </c>
      <c r="AD3" s="130" t="s">
        <v>21</v>
      </c>
    </row>
    <row r="4" spans="1:30" s="1" customFormat="1" ht="87" customHeight="1" x14ac:dyDescent="0.2">
      <c r="A4" s="43">
        <v>40998</v>
      </c>
      <c r="B4" s="44" t="s">
        <v>28</v>
      </c>
      <c r="C4" s="45">
        <v>1</v>
      </c>
      <c r="D4" s="46">
        <v>1</v>
      </c>
      <c r="E4" s="46">
        <v>4</v>
      </c>
      <c r="F4" s="51" t="s">
        <v>29</v>
      </c>
      <c r="G4" s="47" t="s">
        <v>30</v>
      </c>
      <c r="H4" s="46">
        <v>2</v>
      </c>
      <c r="I4" s="129" t="s">
        <v>37</v>
      </c>
      <c r="J4" s="48" t="s">
        <v>40</v>
      </c>
      <c r="K4" s="49" t="s">
        <v>39</v>
      </c>
      <c r="L4" s="49">
        <v>250</v>
      </c>
      <c r="M4" s="50" t="s">
        <v>41</v>
      </c>
      <c r="N4" s="49">
        <v>4</v>
      </c>
      <c r="O4" s="49" t="s">
        <v>62</v>
      </c>
      <c r="P4" s="149" t="s">
        <v>45</v>
      </c>
      <c r="Q4" s="149" t="s">
        <v>46</v>
      </c>
      <c r="R4" s="149" t="s">
        <v>47</v>
      </c>
      <c r="S4" s="149">
        <v>-5</v>
      </c>
      <c r="T4" s="149" t="s">
        <v>48</v>
      </c>
      <c r="U4" s="149" t="s">
        <v>68</v>
      </c>
      <c r="V4" s="149">
        <v>2</v>
      </c>
      <c r="W4" s="149">
        <v>1000</v>
      </c>
      <c r="X4" s="149">
        <v>7</v>
      </c>
      <c r="Y4" s="150">
        <v>3</v>
      </c>
      <c r="Z4" s="151" t="s">
        <v>51</v>
      </c>
      <c r="AA4" s="218">
        <v>0.221</v>
      </c>
      <c r="AB4" s="51">
        <v>0.97</v>
      </c>
      <c r="AC4" s="51">
        <v>2.44</v>
      </c>
      <c r="AD4" s="193" t="s">
        <v>66</v>
      </c>
    </row>
    <row r="5" spans="1:30" s="22" customFormat="1" ht="89.25" customHeight="1" x14ac:dyDescent="0.2">
      <c r="A5" s="20">
        <v>40998</v>
      </c>
      <c r="B5" s="21" t="s">
        <v>31</v>
      </c>
      <c r="C5" s="22">
        <v>2</v>
      </c>
      <c r="D5" s="7">
        <v>42</v>
      </c>
      <c r="E5" s="7">
        <v>24</v>
      </c>
      <c r="F5" s="7" t="s">
        <v>33</v>
      </c>
      <c r="G5" s="9" t="s">
        <v>35</v>
      </c>
      <c r="H5" s="7">
        <v>2</v>
      </c>
      <c r="I5" s="36" t="s">
        <v>37</v>
      </c>
      <c r="J5" s="23" t="s">
        <v>38</v>
      </c>
      <c r="K5" s="12" t="s">
        <v>53</v>
      </c>
      <c r="L5" s="12">
        <v>50</v>
      </c>
      <c r="M5" s="24" t="s">
        <v>42</v>
      </c>
      <c r="N5" s="12">
        <v>4</v>
      </c>
      <c r="O5" s="12" t="s">
        <v>62</v>
      </c>
      <c r="P5" s="143" t="s">
        <v>45</v>
      </c>
      <c r="Q5" s="143" t="s">
        <v>46</v>
      </c>
      <c r="R5" s="152" t="s">
        <v>47</v>
      </c>
      <c r="S5" s="153">
        <v>-5</v>
      </c>
      <c r="T5" s="143" t="s">
        <v>48</v>
      </c>
      <c r="U5" s="143" t="s">
        <v>63</v>
      </c>
      <c r="V5" s="143">
        <v>2</v>
      </c>
      <c r="W5" s="143">
        <v>1000</v>
      </c>
      <c r="X5" s="143">
        <v>7</v>
      </c>
      <c r="Y5" s="154">
        <v>3</v>
      </c>
      <c r="Z5" s="145" t="s">
        <v>49</v>
      </c>
      <c r="AA5" s="219">
        <v>0.221</v>
      </c>
      <c r="AB5" s="25">
        <v>0.97</v>
      </c>
      <c r="AC5" s="25">
        <v>2.44</v>
      </c>
      <c r="AD5" s="192" t="s">
        <v>64</v>
      </c>
    </row>
    <row r="6" spans="1:30" s="76" customFormat="1" ht="87.75" customHeight="1" thickBot="1" x14ac:dyDescent="0.25">
      <c r="A6" s="79">
        <v>40998</v>
      </c>
      <c r="B6" s="80" t="s">
        <v>58</v>
      </c>
      <c r="C6" s="81">
        <v>3</v>
      </c>
      <c r="D6" s="70">
        <v>18</v>
      </c>
      <c r="E6" s="70">
        <v>19</v>
      </c>
      <c r="F6" s="70" t="s">
        <v>34</v>
      </c>
      <c r="G6" s="71" t="s">
        <v>36</v>
      </c>
      <c r="H6" s="70">
        <v>2</v>
      </c>
      <c r="I6" s="82" t="s">
        <v>37</v>
      </c>
      <c r="J6" s="83" t="s">
        <v>59</v>
      </c>
      <c r="K6" s="84" t="s">
        <v>60</v>
      </c>
      <c r="L6" s="84">
        <v>250</v>
      </c>
      <c r="M6" s="73" t="s">
        <v>41</v>
      </c>
      <c r="N6" s="84" t="s">
        <v>44</v>
      </c>
      <c r="O6" s="84" t="s">
        <v>61</v>
      </c>
      <c r="P6" s="155" t="s">
        <v>45</v>
      </c>
      <c r="Q6" s="156" t="s">
        <v>46</v>
      </c>
      <c r="R6" s="157" t="s">
        <v>47</v>
      </c>
      <c r="S6" s="158">
        <v>-5</v>
      </c>
      <c r="T6" s="158" t="s">
        <v>48</v>
      </c>
      <c r="U6" s="158" t="s">
        <v>63</v>
      </c>
      <c r="V6" s="158">
        <v>2</v>
      </c>
      <c r="W6" s="158">
        <v>1000</v>
      </c>
      <c r="X6" s="158">
        <v>7</v>
      </c>
      <c r="Y6" s="159">
        <v>3</v>
      </c>
      <c r="Z6" s="160" t="s">
        <v>50</v>
      </c>
      <c r="AA6" s="220">
        <v>0.221</v>
      </c>
      <c r="AB6" s="85">
        <v>0.97</v>
      </c>
      <c r="AC6" s="85">
        <v>2.44</v>
      </c>
      <c r="AD6" s="194" t="s">
        <v>65</v>
      </c>
    </row>
    <row r="7" spans="1:30" s="96" customFormat="1" ht="39.950000000000003" customHeight="1" x14ac:dyDescent="0.25">
      <c r="A7" s="332">
        <v>41004</v>
      </c>
      <c r="B7" s="87" t="s">
        <v>69</v>
      </c>
      <c r="C7" s="88">
        <v>4</v>
      </c>
      <c r="D7" s="89">
        <v>7</v>
      </c>
      <c r="E7" s="89">
        <v>10</v>
      </c>
      <c r="F7" s="95" t="s">
        <v>29</v>
      </c>
      <c r="G7" s="90" t="s">
        <v>30</v>
      </c>
      <c r="H7" s="89">
        <v>2</v>
      </c>
      <c r="I7" s="91" t="s">
        <v>37</v>
      </c>
      <c r="J7" s="92" t="s">
        <v>75</v>
      </c>
      <c r="K7" s="93">
        <v>10</v>
      </c>
      <c r="L7" s="93">
        <v>50</v>
      </c>
      <c r="M7" s="94" t="s">
        <v>43</v>
      </c>
      <c r="N7" s="93">
        <v>8</v>
      </c>
      <c r="O7" s="93" t="s">
        <v>83</v>
      </c>
      <c r="P7" s="161" t="s">
        <v>45</v>
      </c>
      <c r="Q7" s="161" t="s">
        <v>84</v>
      </c>
      <c r="R7" s="161" t="s">
        <v>47</v>
      </c>
      <c r="S7" s="161">
        <v>-2</v>
      </c>
      <c r="T7" s="161" t="s">
        <v>62</v>
      </c>
      <c r="U7" s="161"/>
      <c r="V7" s="161">
        <v>2</v>
      </c>
      <c r="W7" s="161">
        <v>1000</v>
      </c>
      <c r="X7" s="161" t="s">
        <v>87</v>
      </c>
      <c r="Y7" s="162">
        <v>4</v>
      </c>
      <c r="Z7" s="163" t="s">
        <v>88</v>
      </c>
      <c r="AA7" s="221">
        <v>0.219</v>
      </c>
      <c r="AB7" s="95">
        <v>0.97</v>
      </c>
      <c r="AC7" s="95">
        <v>3.12</v>
      </c>
      <c r="AD7" s="195" t="s">
        <v>93</v>
      </c>
    </row>
    <row r="8" spans="1:30" s="76" customFormat="1" ht="39.950000000000003" customHeight="1" thickBot="1" x14ac:dyDescent="0.3">
      <c r="A8" s="333">
        <v>41004</v>
      </c>
      <c r="B8" s="80" t="s">
        <v>70</v>
      </c>
      <c r="C8" s="86">
        <v>5</v>
      </c>
      <c r="D8" s="70">
        <v>8</v>
      </c>
      <c r="E8" s="70">
        <v>11</v>
      </c>
      <c r="F8" s="85" t="s">
        <v>29</v>
      </c>
      <c r="G8" s="71" t="s">
        <v>30</v>
      </c>
      <c r="H8" s="70">
        <v>2</v>
      </c>
      <c r="I8" s="82" t="s">
        <v>37</v>
      </c>
      <c r="J8" s="83" t="s">
        <v>76</v>
      </c>
      <c r="K8" s="84">
        <v>5</v>
      </c>
      <c r="L8" s="84">
        <v>50</v>
      </c>
      <c r="M8" s="73"/>
      <c r="N8" s="84" t="s">
        <v>62</v>
      </c>
      <c r="O8" s="84" t="s">
        <v>62</v>
      </c>
      <c r="P8" s="158" t="s">
        <v>45</v>
      </c>
      <c r="Q8" s="158" t="s">
        <v>84</v>
      </c>
      <c r="R8" s="158" t="s">
        <v>47</v>
      </c>
      <c r="S8" s="158">
        <v>-2</v>
      </c>
      <c r="T8" s="158" t="s">
        <v>62</v>
      </c>
      <c r="U8" s="158"/>
      <c r="V8" s="158">
        <v>2</v>
      </c>
      <c r="W8" s="158">
        <v>1000</v>
      </c>
      <c r="X8" s="158" t="s">
        <v>87</v>
      </c>
      <c r="Y8" s="159">
        <v>4</v>
      </c>
      <c r="Z8" s="160" t="s">
        <v>89</v>
      </c>
      <c r="AA8" s="220">
        <v>0.219</v>
      </c>
      <c r="AB8" s="85">
        <v>0.97</v>
      </c>
      <c r="AC8" s="85">
        <v>3.12</v>
      </c>
      <c r="AD8" s="194" t="s">
        <v>92</v>
      </c>
    </row>
    <row r="9" spans="1:30" s="1" customFormat="1" ht="50.25" customHeight="1" x14ac:dyDescent="0.25">
      <c r="A9" s="334">
        <v>41008</v>
      </c>
      <c r="B9" s="32" t="s">
        <v>71</v>
      </c>
      <c r="C9" s="33">
        <v>6</v>
      </c>
      <c r="D9" s="34">
        <v>43</v>
      </c>
      <c r="E9" s="34">
        <v>24</v>
      </c>
      <c r="F9" s="34" t="s">
        <v>33</v>
      </c>
      <c r="G9" s="35" t="s">
        <v>74</v>
      </c>
      <c r="H9" s="34">
        <v>2</v>
      </c>
      <c r="I9" s="36" t="s">
        <v>37</v>
      </c>
      <c r="J9" s="37" t="s">
        <v>77</v>
      </c>
      <c r="K9" s="38" t="s">
        <v>80</v>
      </c>
      <c r="L9" s="38">
        <v>50</v>
      </c>
      <c r="M9" s="39"/>
      <c r="N9" s="38" t="s">
        <v>85</v>
      </c>
      <c r="O9" s="38"/>
      <c r="P9" s="164" t="s">
        <v>67</v>
      </c>
      <c r="Q9" s="164" t="s">
        <v>46</v>
      </c>
      <c r="R9" s="164" t="s">
        <v>47</v>
      </c>
      <c r="S9" s="164">
        <v>-5</v>
      </c>
      <c r="T9" s="164" t="s">
        <v>86</v>
      </c>
      <c r="U9" s="164"/>
      <c r="V9" s="164">
        <v>4</v>
      </c>
      <c r="W9" s="164">
        <v>1000</v>
      </c>
      <c r="X9" s="164">
        <v>7</v>
      </c>
      <c r="Y9" s="165">
        <v>9</v>
      </c>
      <c r="Z9" s="166" t="s">
        <v>90</v>
      </c>
      <c r="AA9" s="222">
        <v>0.217</v>
      </c>
      <c r="AB9" s="40">
        <v>0.98</v>
      </c>
      <c r="AC9" s="40">
        <v>2.9</v>
      </c>
      <c r="AD9" s="196" t="s">
        <v>94</v>
      </c>
    </row>
    <row r="10" spans="1:30" s="97" customFormat="1" ht="39.950000000000003" customHeight="1" x14ac:dyDescent="0.25">
      <c r="A10" s="335">
        <v>41008</v>
      </c>
      <c r="B10" s="21" t="s">
        <v>72</v>
      </c>
      <c r="C10" s="22">
        <v>7</v>
      </c>
      <c r="D10" s="7">
        <v>44</v>
      </c>
      <c r="E10" s="7">
        <v>24</v>
      </c>
      <c r="F10" s="7" t="s">
        <v>33</v>
      </c>
      <c r="G10" s="9" t="s">
        <v>74</v>
      </c>
      <c r="H10" s="7">
        <v>2</v>
      </c>
      <c r="I10" s="11" t="s">
        <v>37</v>
      </c>
      <c r="J10" s="23" t="s">
        <v>78</v>
      </c>
      <c r="K10" s="12" t="s">
        <v>81</v>
      </c>
      <c r="L10" s="12">
        <v>50</v>
      </c>
      <c r="M10" s="24"/>
      <c r="N10" s="12" t="s">
        <v>85</v>
      </c>
      <c r="O10" s="12"/>
      <c r="P10" s="143" t="s">
        <v>67</v>
      </c>
      <c r="Q10" s="143" t="s">
        <v>84</v>
      </c>
      <c r="R10" s="143" t="s">
        <v>47</v>
      </c>
      <c r="S10" s="143">
        <v>-4</v>
      </c>
      <c r="T10" s="143" t="s">
        <v>62</v>
      </c>
      <c r="U10" s="143">
        <v>1</v>
      </c>
      <c r="V10" s="143">
        <v>4</v>
      </c>
      <c r="W10" s="143">
        <v>1000</v>
      </c>
      <c r="X10" s="143" t="s">
        <v>87</v>
      </c>
      <c r="Y10" s="154">
        <v>9</v>
      </c>
      <c r="Z10" s="145" t="s">
        <v>91</v>
      </c>
      <c r="AA10" s="219">
        <v>0.217</v>
      </c>
      <c r="AB10" s="25">
        <v>0.98</v>
      </c>
      <c r="AC10" s="25">
        <v>2.9</v>
      </c>
      <c r="AD10" s="192" t="s">
        <v>95</v>
      </c>
    </row>
    <row r="11" spans="1:30" s="76" customFormat="1" ht="39.950000000000003" customHeight="1" thickBot="1" x14ac:dyDescent="0.3">
      <c r="A11" s="333">
        <v>41008</v>
      </c>
      <c r="B11" s="80" t="s">
        <v>73</v>
      </c>
      <c r="C11" s="86">
        <v>8</v>
      </c>
      <c r="D11" s="70">
        <v>45</v>
      </c>
      <c r="E11" s="70">
        <v>24</v>
      </c>
      <c r="F11" s="70" t="s">
        <v>33</v>
      </c>
      <c r="G11" s="71" t="s">
        <v>74</v>
      </c>
      <c r="H11" s="70">
        <v>2</v>
      </c>
      <c r="I11" s="82" t="s">
        <v>37</v>
      </c>
      <c r="J11" s="83" t="s">
        <v>79</v>
      </c>
      <c r="K11" s="84" t="s">
        <v>82</v>
      </c>
      <c r="L11" s="84">
        <v>50</v>
      </c>
      <c r="M11" s="73"/>
      <c r="N11" s="84">
        <v>8</v>
      </c>
      <c r="O11" s="84"/>
      <c r="P11" s="158" t="s">
        <v>45</v>
      </c>
      <c r="Q11" s="158" t="s">
        <v>84</v>
      </c>
      <c r="R11" s="158" t="s">
        <v>47</v>
      </c>
      <c r="S11" s="158">
        <v>-5</v>
      </c>
      <c r="T11" s="158" t="s">
        <v>62</v>
      </c>
      <c r="U11" s="158">
        <v>1</v>
      </c>
      <c r="V11" s="158">
        <v>4</v>
      </c>
      <c r="W11" s="158">
        <v>1000</v>
      </c>
      <c r="X11" s="158" t="s">
        <v>87</v>
      </c>
      <c r="Y11" s="159">
        <v>7</v>
      </c>
      <c r="Z11" s="160" t="s">
        <v>91</v>
      </c>
      <c r="AA11" s="220">
        <v>0.217</v>
      </c>
      <c r="AB11" s="85">
        <v>0.98</v>
      </c>
      <c r="AC11" s="85">
        <v>2.9</v>
      </c>
      <c r="AD11" s="194" t="s">
        <v>96</v>
      </c>
    </row>
    <row r="12" spans="1:30" ht="39.950000000000003" customHeight="1" x14ac:dyDescent="0.25">
      <c r="A12" s="334">
        <v>41031</v>
      </c>
      <c r="B12" s="15" t="s">
        <v>99</v>
      </c>
      <c r="C12" s="19">
        <v>9</v>
      </c>
      <c r="D12" s="52">
        <v>19</v>
      </c>
      <c r="E12" s="52">
        <v>19</v>
      </c>
      <c r="F12" s="34" t="s">
        <v>34</v>
      </c>
      <c r="G12" s="35" t="s">
        <v>74</v>
      </c>
      <c r="H12" s="52">
        <v>2</v>
      </c>
      <c r="I12" s="36" t="s">
        <v>37</v>
      </c>
      <c r="J12" s="37" t="s">
        <v>76</v>
      </c>
      <c r="K12" s="53">
        <v>6</v>
      </c>
      <c r="L12" s="53">
        <v>50</v>
      </c>
      <c r="M12" s="39"/>
      <c r="N12" s="53">
        <v>8</v>
      </c>
      <c r="O12" s="53" t="s">
        <v>62</v>
      </c>
      <c r="P12" s="167" t="s">
        <v>67</v>
      </c>
      <c r="Q12" s="167" t="s">
        <v>84</v>
      </c>
      <c r="R12" s="167" t="s">
        <v>47</v>
      </c>
      <c r="S12" s="167">
        <v>-4</v>
      </c>
      <c r="T12" s="167" t="s">
        <v>97</v>
      </c>
      <c r="U12" s="164">
        <v>1</v>
      </c>
      <c r="V12" s="167">
        <v>4</v>
      </c>
      <c r="W12" s="167">
        <v>1000</v>
      </c>
      <c r="X12" s="167" t="s">
        <v>98</v>
      </c>
      <c r="Y12" s="168">
        <v>2</v>
      </c>
      <c r="Z12" s="166" t="s">
        <v>100</v>
      </c>
      <c r="AA12" s="216">
        <f>164.7/752.5</f>
        <v>0.21887043189368768</v>
      </c>
      <c r="AB12" s="54">
        <f>752.5/760</f>
        <v>0.99013157894736847</v>
      </c>
      <c r="AC12" s="54">
        <v>1.5</v>
      </c>
      <c r="AD12" s="196" t="s">
        <v>101</v>
      </c>
    </row>
    <row r="13" spans="1:30" s="98" customFormat="1" ht="39.950000000000003" customHeight="1" x14ac:dyDescent="0.25">
      <c r="A13" s="335">
        <v>41031</v>
      </c>
      <c r="B13" s="13" t="s">
        <v>104</v>
      </c>
      <c r="C13" s="2">
        <v>10</v>
      </c>
      <c r="D13" s="3">
        <v>20</v>
      </c>
      <c r="E13" s="3">
        <v>19</v>
      </c>
      <c r="F13" s="7" t="s">
        <v>34</v>
      </c>
      <c r="G13" s="9" t="s">
        <v>74</v>
      </c>
      <c r="H13" s="3">
        <v>2</v>
      </c>
      <c r="I13" s="11" t="s">
        <v>37</v>
      </c>
      <c r="J13" s="23" t="s">
        <v>102</v>
      </c>
      <c r="K13" s="4" t="s">
        <v>103</v>
      </c>
      <c r="L13" s="4">
        <v>50</v>
      </c>
      <c r="M13" s="24"/>
      <c r="N13" s="4">
        <v>8</v>
      </c>
      <c r="O13" s="4" t="s">
        <v>62</v>
      </c>
      <c r="P13" s="142" t="s">
        <v>67</v>
      </c>
      <c r="Q13" s="142" t="s">
        <v>84</v>
      </c>
      <c r="R13" s="142" t="s">
        <v>47</v>
      </c>
      <c r="S13" s="142">
        <v>-4</v>
      </c>
      <c r="T13" s="142" t="s">
        <v>97</v>
      </c>
      <c r="U13" s="143">
        <v>1</v>
      </c>
      <c r="V13" s="142">
        <v>4</v>
      </c>
      <c r="W13" s="142">
        <v>1000</v>
      </c>
      <c r="X13" s="142" t="s">
        <v>98</v>
      </c>
      <c r="Y13" s="144">
        <v>2</v>
      </c>
      <c r="Z13" s="145" t="s">
        <v>106</v>
      </c>
      <c r="AA13" s="216">
        <f>164.7/752.5</f>
        <v>0.21887043189368768</v>
      </c>
      <c r="AB13" s="5">
        <f>752.5/760</f>
        <v>0.99013157894736847</v>
      </c>
      <c r="AC13" s="5">
        <v>1.5</v>
      </c>
      <c r="AD13" s="192" t="s">
        <v>105</v>
      </c>
    </row>
    <row r="14" spans="1:30" s="75" customFormat="1" ht="67.5" customHeight="1" thickBot="1" x14ac:dyDescent="0.3">
      <c r="A14" s="333">
        <v>41031</v>
      </c>
      <c r="B14" s="67" t="s">
        <v>110</v>
      </c>
      <c r="C14" s="68">
        <v>11</v>
      </c>
      <c r="D14" s="69">
        <v>21</v>
      </c>
      <c r="E14" s="69">
        <v>19</v>
      </c>
      <c r="F14" s="70" t="s">
        <v>34</v>
      </c>
      <c r="G14" s="71" t="s">
        <v>74</v>
      </c>
      <c r="H14" s="69">
        <v>2</v>
      </c>
      <c r="I14" s="82" t="s">
        <v>37</v>
      </c>
      <c r="J14" s="83" t="s">
        <v>108</v>
      </c>
      <c r="K14" s="72" t="s">
        <v>109</v>
      </c>
      <c r="L14" s="72">
        <v>50</v>
      </c>
      <c r="M14" s="73"/>
      <c r="N14" s="72">
        <v>8</v>
      </c>
      <c r="O14" s="72" t="s">
        <v>62</v>
      </c>
      <c r="P14" s="169" t="s">
        <v>67</v>
      </c>
      <c r="Q14" s="169" t="s">
        <v>84</v>
      </c>
      <c r="R14" s="169" t="s">
        <v>47</v>
      </c>
      <c r="S14" s="169">
        <v>-4</v>
      </c>
      <c r="T14" s="169" t="s">
        <v>97</v>
      </c>
      <c r="U14" s="158">
        <v>1</v>
      </c>
      <c r="V14" s="169">
        <v>4</v>
      </c>
      <c r="W14" s="169">
        <v>1000</v>
      </c>
      <c r="X14" s="169" t="s">
        <v>98</v>
      </c>
      <c r="Y14" s="170">
        <v>2</v>
      </c>
      <c r="Z14" s="160" t="s">
        <v>107</v>
      </c>
      <c r="AA14" s="216">
        <f>164.7/752.5</f>
        <v>0.21887043189368768</v>
      </c>
      <c r="AB14" s="74">
        <f>752.5/760</f>
        <v>0.99013157894736847</v>
      </c>
      <c r="AC14" s="74">
        <v>1.5</v>
      </c>
      <c r="AD14" s="194" t="s">
        <v>111</v>
      </c>
    </row>
    <row r="15" spans="1:30" ht="51" customHeight="1" x14ac:dyDescent="0.2">
      <c r="A15" s="26">
        <v>41039</v>
      </c>
      <c r="B15" s="15" t="s">
        <v>112</v>
      </c>
      <c r="C15" s="19">
        <v>12</v>
      </c>
      <c r="D15" s="52">
        <v>4</v>
      </c>
      <c r="E15" s="52">
        <v>12</v>
      </c>
      <c r="F15" s="40" t="s">
        <v>29</v>
      </c>
      <c r="G15" s="35" t="s">
        <v>30</v>
      </c>
      <c r="H15" s="52">
        <v>2</v>
      </c>
      <c r="I15" s="36" t="s">
        <v>37</v>
      </c>
      <c r="J15" s="37" t="s">
        <v>119</v>
      </c>
      <c r="K15" s="53">
        <v>22</v>
      </c>
      <c r="L15" s="53">
        <v>50</v>
      </c>
      <c r="M15" s="39" t="s">
        <v>120</v>
      </c>
      <c r="N15" s="53" t="s">
        <v>62</v>
      </c>
      <c r="O15" s="53" t="s">
        <v>62</v>
      </c>
      <c r="P15" s="167" t="s">
        <v>45</v>
      </c>
      <c r="Q15" s="167" t="s">
        <v>84</v>
      </c>
      <c r="R15" s="167" t="s">
        <v>121</v>
      </c>
      <c r="S15" s="167" t="s">
        <v>127</v>
      </c>
      <c r="T15" s="167" t="s">
        <v>62</v>
      </c>
      <c r="U15" s="171">
        <v>1</v>
      </c>
      <c r="V15" s="167" t="s">
        <v>122</v>
      </c>
      <c r="W15" s="167">
        <v>1000</v>
      </c>
      <c r="X15" s="167" t="s">
        <v>98</v>
      </c>
      <c r="Y15" s="168">
        <v>5</v>
      </c>
      <c r="Z15" s="166" t="s">
        <v>123</v>
      </c>
      <c r="AA15" s="216">
        <f>161.7/747.6</f>
        <v>0.21629213483146065</v>
      </c>
      <c r="AB15" s="54">
        <f>747.6/760</f>
        <v>0.98368421052631583</v>
      </c>
      <c r="AC15" s="54">
        <v>1.51</v>
      </c>
      <c r="AD15" s="196" t="s">
        <v>427</v>
      </c>
    </row>
    <row r="16" spans="1:30" ht="39.950000000000003" customHeight="1" x14ac:dyDescent="0.2">
      <c r="A16" s="64">
        <v>41039</v>
      </c>
      <c r="B16" s="55" t="s">
        <v>136</v>
      </c>
      <c r="C16" s="56">
        <v>13</v>
      </c>
      <c r="D16" s="57">
        <v>10</v>
      </c>
      <c r="E16" s="57">
        <v>2</v>
      </c>
      <c r="F16" s="259" t="s">
        <v>113</v>
      </c>
      <c r="G16" s="29" t="s">
        <v>30</v>
      </c>
      <c r="H16" s="57">
        <v>2</v>
      </c>
      <c r="I16" s="30" t="s">
        <v>37</v>
      </c>
      <c r="J16" s="114" t="s">
        <v>124</v>
      </c>
      <c r="K16" s="58">
        <v>11</v>
      </c>
      <c r="L16" s="58">
        <v>50</v>
      </c>
      <c r="M16" s="31" t="s">
        <v>125</v>
      </c>
      <c r="N16" s="58" t="s">
        <v>62</v>
      </c>
      <c r="O16" s="58" t="s">
        <v>62</v>
      </c>
      <c r="P16" s="172" t="s">
        <v>45</v>
      </c>
      <c r="Q16" s="172" t="s">
        <v>84</v>
      </c>
      <c r="R16" s="172" t="s">
        <v>121</v>
      </c>
      <c r="S16" s="172" t="s">
        <v>128</v>
      </c>
      <c r="T16" s="172" t="s">
        <v>62</v>
      </c>
      <c r="U16" s="173">
        <v>1</v>
      </c>
      <c r="V16" s="172" t="s">
        <v>122</v>
      </c>
      <c r="W16" s="172">
        <v>1000</v>
      </c>
      <c r="X16" s="172" t="s">
        <v>98</v>
      </c>
      <c r="Y16" s="174">
        <v>5</v>
      </c>
      <c r="Z16" s="175" t="s">
        <v>126</v>
      </c>
      <c r="AA16" s="223">
        <f>161.7/747.6</f>
        <v>0.21629213483146065</v>
      </c>
      <c r="AB16" s="59">
        <f>747.6/760</f>
        <v>0.98368421052631583</v>
      </c>
      <c r="AC16" s="59">
        <v>2.5099999999999998</v>
      </c>
      <c r="AD16" s="197" t="s">
        <v>129</v>
      </c>
    </row>
    <row r="17" spans="1:30" s="63" customFormat="1" ht="54" customHeight="1" thickBot="1" x14ac:dyDescent="0.25">
      <c r="A17" s="65">
        <v>41039</v>
      </c>
      <c r="B17" s="16" t="s">
        <v>137</v>
      </c>
      <c r="C17" s="17">
        <v>14</v>
      </c>
      <c r="D17" s="60">
        <v>12</v>
      </c>
      <c r="E17" s="60">
        <v>27</v>
      </c>
      <c r="F17" s="18" t="s">
        <v>114</v>
      </c>
      <c r="G17" s="41" t="s">
        <v>30</v>
      </c>
      <c r="H17" s="60">
        <v>2</v>
      </c>
      <c r="I17" s="41" t="s">
        <v>117</v>
      </c>
      <c r="J17" s="115" t="s">
        <v>130</v>
      </c>
      <c r="K17" s="61">
        <v>15</v>
      </c>
      <c r="L17" s="61" t="s">
        <v>131</v>
      </c>
      <c r="M17" s="42" t="s">
        <v>132</v>
      </c>
      <c r="N17" s="61" t="s">
        <v>62</v>
      </c>
      <c r="O17" s="61" t="s">
        <v>62</v>
      </c>
      <c r="P17" s="176" t="s">
        <v>45</v>
      </c>
      <c r="Q17" s="176" t="s">
        <v>84</v>
      </c>
      <c r="R17" s="176" t="s">
        <v>121</v>
      </c>
      <c r="S17" s="176" t="s">
        <v>133</v>
      </c>
      <c r="T17" s="176" t="s">
        <v>62</v>
      </c>
      <c r="U17" s="177">
        <v>1</v>
      </c>
      <c r="V17" s="176" t="s">
        <v>122</v>
      </c>
      <c r="W17" s="176">
        <v>1000</v>
      </c>
      <c r="X17" s="176" t="s">
        <v>98</v>
      </c>
      <c r="Y17" s="178">
        <v>5</v>
      </c>
      <c r="Z17" s="179" t="s">
        <v>134</v>
      </c>
      <c r="AA17" s="224">
        <f>161.7/747.6</f>
        <v>0.21629213483146065</v>
      </c>
      <c r="AB17" s="62">
        <f>747.6/760</f>
        <v>0.98368421052631583</v>
      </c>
      <c r="AC17" s="62">
        <v>3.51</v>
      </c>
      <c r="AD17" s="198" t="s">
        <v>135</v>
      </c>
    </row>
    <row r="18" spans="1:30" ht="75.75" customHeight="1" x14ac:dyDescent="0.2">
      <c r="A18" s="26">
        <v>41040</v>
      </c>
      <c r="B18" s="15" t="s">
        <v>138</v>
      </c>
      <c r="C18" s="19">
        <v>15</v>
      </c>
      <c r="D18" s="52">
        <v>54</v>
      </c>
      <c r="E18" s="52">
        <v>21</v>
      </c>
      <c r="F18" s="34" t="s">
        <v>115</v>
      </c>
      <c r="G18" s="35" t="s">
        <v>193</v>
      </c>
      <c r="H18" s="52">
        <v>2</v>
      </c>
      <c r="I18" s="35" t="s">
        <v>117</v>
      </c>
      <c r="J18" s="37" t="s">
        <v>143</v>
      </c>
      <c r="K18" s="53">
        <v>11</v>
      </c>
      <c r="L18" s="53">
        <v>50</v>
      </c>
      <c r="M18" s="39" t="s">
        <v>146</v>
      </c>
      <c r="N18" s="53" t="s">
        <v>141</v>
      </c>
      <c r="O18" s="53" t="s">
        <v>142</v>
      </c>
      <c r="P18" s="167" t="s">
        <v>67</v>
      </c>
      <c r="Q18" s="167" t="s">
        <v>84</v>
      </c>
      <c r="R18" s="167" t="s">
        <v>47</v>
      </c>
      <c r="S18" s="167">
        <v>-4</v>
      </c>
      <c r="T18" s="167" t="s">
        <v>62</v>
      </c>
      <c r="U18" s="164">
        <f>201/313</f>
        <v>0.64217252396166136</v>
      </c>
      <c r="V18" s="167" t="s">
        <v>139</v>
      </c>
      <c r="W18" s="167">
        <v>1000</v>
      </c>
      <c r="X18" s="167" t="s">
        <v>98</v>
      </c>
      <c r="Y18" s="168">
        <v>3</v>
      </c>
      <c r="Z18" s="166" t="s">
        <v>167</v>
      </c>
      <c r="AA18" s="216">
        <v>0.217</v>
      </c>
      <c r="AB18" s="54">
        <v>0.98399999999999999</v>
      </c>
      <c r="AC18" s="54" t="s">
        <v>140</v>
      </c>
      <c r="AD18" s="196" t="s">
        <v>148</v>
      </c>
    </row>
    <row r="19" spans="1:30" ht="59.25" customHeight="1" x14ac:dyDescent="0.2">
      <c r="A19" s="6">
        <v>41040</v>
      </c>
      <c r="B19" s="13" t="s">
        <v>147</v>
      </c>
      <c r="C19" s="2">
        <v>16</v>
      </c>
      <c r="D19" s="3">
        <v>55</v>
      </c>
      <c r="E19" s="3">
        <v>21</v>
      </c>
      <c r="F19" s="7" t="s">
        <v>115</v>
      </c>
      <c r="G19" s="9" t="s">
        <v>116</v>
      </c>
      <c r="H19" s="3">
        <v>2</v>
      </c>
      <c r="I19" s="9" t="s">
        <v>117</v>
      </c>
      <c r="J19" s="23" t="s">
        <v>145</v>
      </c>
      <c r="K19" s="4">
        <v>6.5</v>
      </c>
      <c r="L19" s="4">
        <v>50</v>
      </c>
      <c r="M19" s="24" t="s">
        <v>152</v>
      </c>
      <c r="N19" s="4">
        <v>8</v>
      </c>
      <c r="O19" s="4">
        <v>395</v>
      </c>
      <c r="P19" s="142" t="s">
        <v>67</v>
      </c>
      <c r="Q19" s="142" t="s">
        <v>84</v>
      </c>
      <c r="R19" s="142" t="s">
        <v>121</v>
      </c>
      <c r="S19" s="142" t="s">
        <v>144</v>
      </c>
      <c r="T19" s="142" t="s">
        <v>62</v>
      </c>
      <c r="U19" s="143">
        <f>233/339</f>
        <v>0.68731563421828912</v>
      </c>
      <c r="V19" s="142" t="s">
        <v>122</v>
      </c>
      <c r="W19" s="142">
        <v>1000</v>
      </c>
      <c r="X19" s="142" t="s">
        <v>98</v>
      </c>
      <c r="Y19" s="144">
        <v>8</v>
      </c>
      <c r="Z19" s="145" t="s">
        <v>168</v>
      </c>
      <c r="AA19" s="225">
        <v>0.217</v>
      </c>
      <c r="AB19" s="5">
        <v>0.98399999999999999</v>
      </c>
      <c r="AC19" s="5" t="s">
        <v>140</v>
      </c>
      <c r="AD19" s="192" t="s">
        <v>172</v>
      </c>
    </row>
    <row r="20" spans="1:30" ht="69" customHeight="1" x14ac:dyDescent="0.2">
      <c r="A20" s="64">
        <v>41040</v>
      </c>
      <c r="B20" s="55" t="s">
        <v>149</v>
      </c>
      <c r="C20" s="56">
        <v>17</v>
      </c>
      <c r="D20" s="57">
        <v>56</v>
      </c>
      <c r="E20" s="57">
        <v>21</v>
      </c>
      <c r="F20" s="28" t="s">
        <v>115</v>
      </c>
      <c r="G20" s="29" t="s">
        <v>116</v>
      </c>
      <c r="H20" s="57">
        <v>2</v>
      </c>
      <c r="I20" s="29" t="s">
        <v>117</v>
      </c>
      <c r="J20" s="114" t="s">
        <v>150</v>
      </c>
      <c r="K20" s="58" t="s">
        <v>162</v>
      </c>
      <c r="L20" s="58">
        <v>50</v>
      </c>
      <c r="M20" s="31" t="s">
        <v>161</v>
      </c>
      <c r="N20" s="58">
        <v>8</v>
      </c>
      <c r="O20" s="58" t="s">
        <v>62</v>
      </c>
      <c r="P20" s="172" t="s">
        <v>67</v>
      </c>
      <c r="Q20" s="172" t="s">
        <v>84</v>
      </c>
      <c r="R20" s="172" t="s">
        <v>121</v>
      </c>
      <c r="S20" s="172" t="s">
        <v>144</v>
      </c>
      <c r="T20" s="172" t="s">
        <v>62</v>
      </c>
      <c r="U20" s="173">
        <f>154/281</f>
        <v>0.54804270462633453</v>
      </c>
      <c r="V20" s="172" t="s">
        <v>122</v>
      </c>
      <c r="W20" s="172">
        <v>1000</v>
      </c>
      <c r="X20" s="172" t="s">
        <v>98</v>
      </c>
      <c r="Y20" s="174">
        <v>4</v>
      </c>
      <c r="Z20" s="175" t="s">
        <v>151</v>
      </c>
      <c r="AA20" s="223">
        <v>0.217</v>
      </c>
      <c r="AB20" s="59">
        <v>0.98399999999999999</v>
      </c>
      <c r="AC20" s="59" t="s">
        <v>140</v>
      </c>
      <c r="AD20" s="197" t="s">
        <v>160</v>
      </c>
    </row>
    <row r="21" spans="1:30" s="2" customFormat="1" ht="39.950000000000003" customHeight="1" x14ac:dyDescent="0.2">
      <c r="A21" s="6">
        <v>41040</v>
      </c>
      <c r="B21" s="13" t="s">
        <v>154</v>
      </c>
      <c r="C21" s="2">
        <v>18</v>
      </c>
      <c r="D21" s="3">
        <v>57</v>
      </c>
      <c r="E21" s="3">
        <v>21</v>
      </c>
      <c r="F21" s="7" t="s">
        <v>115</v>
      </c>
      <c r="G21" s="9" t="s">
        <v>116</v>
      </c>
      <c r="H21" s="3">
        <v>2</v>
      </c>
      <c r="I21" s="9" t="s">
        <v>117</v>
      </c>
      <c r="J21" s="23" t="s">
        <v>153</v>
      </c>
      <c r="K21" s="4" t="s">
        <v>156</v>
      </c>
      <c r="L21" s="4">
        <v>50</v>
      </c>
      <c r="M21" s="24" t="s">
        <v>157</v>
      </c>
      <c r="N21" s="4">
        <v>8</v>
      </c>
      <c r="O21" s="4" t="s">
        <v>62</v>
      </c>
      <c r="P21" s="142" t="s">
        <v>45</v>
      </c>
      <c r="Q21" s="142" t="s">
        <v>84</v>
      </c>
      <c r="R21" s="142" t="s">
        <v>121</v>
      </c>
      <c r="S21" s="142" t="s">
        <v>144</v>
      </c>
      <c r="T21" s="142" t="s">
        <v>62</v>
      </c>
      <c r="U21" s="143">
        <f>190/337</f>
        <v>0.56379821958456977</v>
      </c>
      <c r="V21" s="142" t="s">
        <v>122</v>
      </c>
      <c r="W21" s="142">
        <v>1000</v>
      </c>
      <c r="X21" s="142" t="s">
        <v>98</v>
      </c>
      <c r="Y21" s="144">
        <v>9</v>
      </c>
      <c r="Z21" s="145" t="s">
        <v>155</v>
      </c>
      <c r="AA21" s="225">
        <v>0.217</v>
      </c>
      <c r="AB21" s="5">
        <v>0.98399999999999999</v>
      </c>
      <c r="AC21" s="5" t="s">
        <v>140</v>
      </c>
      <c r="AD21" s="192" t="s">
        <v>158</v>
      </c>
    </row>
    <row r="22" spans="1:30" s="75" customFormat="1" ht="57" customHeight="1" thickBot="1" x14ac:dyDescent="0.25">
      <c r="A22" s="66">
        <v>41040</v>
      </c>
      <c r="B22" s="67" t="s">
        <v>164</v>
      </c>
      <c r="C22" s="68">
        <v>19</v>
      </c>
      <c r="D22" s="69">
        <v>110</v>
      </c>
      <c r="E22" s="69">
        <v>21</v>
      </c>
      <c r="F22" s="70" t="s">
        <v>115</v>
      </c>
      <c r="G22" s="47" t="s">
        <v>116</v>
      </c>
      <c r="H22" s="69">
        <v>2</v>
      </c>
      <c r="I22" s="71" t="s">
        <v>117</v>
      </c>
      <c r="J22" s="83" t="s">
        <v>163</v>
      </c>
      <c r="K22" s="72" t="s">
        <v>165</v>
      </c>
      <c r="L22" s="72">
        <v>50</v>
      </c>
      <c r="M22" s="73" t="s">
        <v>166</v>
      </c>
      <c r="N22" s="72">
        <v>8</v>
      </c>
      <c r="O22" s="72" t="s">
        <v>62</v>
      </c>
      <c r="P22" s="169" t="s">
        <v>45</v>
      </c>
      <c r="Q22" s="169" t="s">
        <v>84</v>
      </c>
      <c r="R22" s="169" t="s">
        <v>121</v>
      </c>
      <c r="S22" s="169" t="s">
        <v>144</v>
      </c>
      <c r="T22" s="169" t="s">
        <v>62</v>
      </c>
      <c r="U22" s="158">
        <f>103/173</f>
        <v>0.59537572254335258</v>
      </c>
      <c r="V22" s="169" t="s">
        <v>122</v>
      </c>
      <c r="W22" s="169">
        <v>1000</v>
      </c>
      <c r="X22" s="169" t="s">
        <v>98</v>
      </c>
      <c r="Y22" s="170">
        <v>7</v>
      </c>
      <c r="Z22" s="160" t="s">
        <v>159</v>
      </c>
      <c r="AA22" s="226">
        <v>0.217</v>
      </c>
      <c r="AB22" s="74">
        <v>0.98399999999999999</v>
      </c>
      <c r="AC22" s="74" t="s">
        <v>140</v>
      </c>
      <c r="AD22" s="194" t="s">
        <v>309</v>
      </c>
    </row>
    <row r="23" spans="1:30" ht="39.950000000000003" customHeight="1" x14ac:dyDescent="0.2">
      <c r="A23" s="99">
        <v>41065</v>
      </c>
      <c r="B23" s="15" t="s">
        <v>173</v>
      </c>
      <c r="C23" s="19">
        <v>20</v>
      </c>
      <c r="D23" s="52">
        <v>30</v>
      </c>
      <c r="E23" s="52">
        <v>15</v>
      </c>
      <c r="F23" s="34" t="s">
        <v>169</v>
      </c>
      <c r="G23" s="9" t="s">
        <v>171</v>
      </c>
      <c r="H23" s="52">
        <v>2</v>
      </c>
      <c r="I23" s="36" t="s">
        <v>117</v>
      </c>
      <c r="J23" s="37" t="s">
        <v>170</v>
      </c>
      <c r="K23" s="53">
        <v>5.5</v>
      </c>
      <c r="L23" s="53">
        <v>50</v>
      </c>
      <c r="M23" s="39"/>
      <c r="N23" s="53">
        <v>8</v>
      </c>
      <c r="O23" s="53" t="s">
        <v>62</v>
      </c>
      <c r="P23" s="167" t="s">
        <v>67</v>
      </c>
      <c r="Q23" s="167" t="s">
        <v>84</v>
      </c>
      <c r="R23" s="167" t="s">
        <v>121</v>
      </c>
      <c r="S23" s="167" t="s">
        <v>144</v>
      </c>
      <c r="T23" s="167" t="s">
        <v>62</v>
      </c>
      <c r="U23" s="164"/>
      <c r="V23" s="167" t="s">
        <v>122</v>
      </c>
      <c r="W23" s="167">
        <v>1000</v>
      </c>
      <c r="X23" s="167" t="s">
        <v>98</v>
      </c>
      <c r="Y23" s="168">
        <v>6</v>
      </c>
      <c r="Z23" s="166" t="s">
        <v>174</v>
      </c>
      <c r="AA23" s="216">
        <f t="shared" ref="AA23:AA28" si="0">156.42/738.8</f>
        <v>0.21172171088251218</v>
      </c>
      <c r="AB23" s="54">
        <f t="shared" ref="AB23:AB28" si="1">738.8/760</f>
        <v>0.97210526315789469</v>
      </c>
      <c r="AC23" s="54">
        <v>2.62</v>
      </c>
      <c r="AD23" s="196" t="s">
        <v>179</v>
      </c>
    </row>
    <row r="24" spans="1:30" ht="39.950000000000003" customHeight="1" x14ac:dyDescent="0.2">
      <c r="A24" s="100">
        <v>41065</v>
      </c>
      <c r="B24" s="13" t="s">
        <v>175</v>
      </c>
      <c r="C24" s="2">
        <v>21</v>
      </c>
      <c r="D24" s="3">
        <v>31</v>
      </c>
      <c r="E24" s="3">
        <v>15</v>
      </c>
      <c r="F24" s="7" t="s">
        <v>169</v>
      </c>
      <c r="G24" s="9" t="s">
        <v>171</v>
      </c>
      <c r="H24" s="3">
        <v>2</v>
      </c>
      <c r="I24" s="11" t="s">
        <v>117</v>
      </c>
      <c r="J24" s="23" t="s">
        <v>145</v>
      </c>
      <c r="K24" s="4" t="s">
        <v>176</v>
      </c>
      <c r="L24" s="4">
        <v>50</v>
      </c>
      <c r="M24" s="24"/>
      <c r="N24" s="4">
        <v>8</v>
      </c>
      <c r="O24" s="4" t="s">
        <v>62</v>
      </c>
      <c r="P24" s="142" t="s">
        <v>67</v>
      </c>
      <c r="Q24" s="142" t="s">
        <v>84</v>
      </c>
      <c r="R24" s="142" t="s">
        <v>177</v>
      </c>
      <c r="S24" s="142">
        <v>-4</v>
      </c>
      <c r="T24" s="142" t="s">
        <v>62</v>
      </c>
      <c r="U24" s="143">
        <v>1</v>
      </c>
      <c r="V24" s="142" t="s">
        <v>139</v>
      </c>
      <c r="W24" s="142">
        <v>1000</v>
      </c>
      <c r="X24" s="142" t="s">
        <v>98</v>
      </c>
      <c r="Y24" s="144">
        <v>6</v>
      </c>
      <c r="Z24" s="145" t="s">
        <v>178</v>
      </c>
      <c r="AA24" s="216">
        <f t="shared" si="0"/>
        <v>0.21172171088251218</v>
      </c>
      <c r="AB24" s="54">
        <f t="shared" si="1"/>
        <v>0.97210526315789469</v>
      </c>
      <c r="AC24" s="54">
        <v>2.62</v>
      </c>
      <c r="AD24" s="192" t="s">
        <v>180</v>
      </c>
    </row>
    <row r="25" spans="1:30" ht="39.950000000000003" customHeight="1" x14ac:dyDescent="0.2">
      <c r="A25" s="100">
        <v>41065</v>
      </c>
      <c r="B25" s="13" t="s">
        <v>182</v>
      </c>
      <c r="C25" s="2">
        <v>22</v>
      </c>
      <c r="D25" s="3">
        <v>32</v>
      </c>
      <c r="E25" s="3">
        <v>15</v>
      </c>
      <c r="F25" s="7" t="s">
        <v>169</v>
      </c>
      <c r="G25" s="9" t="s">
        <v>171</v>
      </c>
      <c r="H25" s="3">
        <v>2</v>
      </c>
      <c r="I25" s="11" t="s">
        <v>117</v>
      </c>
      <c r="J25" s="23" t="s">
        <v>153</v>
      </c>
      <c r="K25" s="4" t="s">
        <v>185</v>
      </c>
      <c r="L25" s="4">
        <v>50</v>
      </c>
      <c r="M25" s="24"/>
      <c r="N25" s="4">
        <v>8</v>
      </c>
      <c r="O25" s="4" t="s">
        <v>62</v>
      </c>
      <c r="P25" s="142" t="s">
        <v>67</v>
      </c>
      <c r="Q25" s="142" t="s">
        <v>84</v>
      </c>
      <c r="R25" s="142" t="s">
        <v>177</v>
      </c>
      <c r="S25" s="142">
        <v>-4</v>
      </c>
      <c r="T25" s="142" t="s">
        <v>62</v>
      </c>
      <c r="U25" s="143">
        <v>1</v>
      </c>
      <c r="V25" s="142" t="s">
        <v>139</v>
      </c>
      <c r="W25" s="142">
        <v>1000</v>
      </c>
      <c r="X25" s="142" t="s">
        <v>98</v>
      </c>
      <c r="Y25" s="144">
        <v>7</v>
      </c>
      <c r="Z25" s="145" t="s">
        <v>181</v>
      </c>
      <c r="AA25" s="216">
        <f t="shared" si="0"/>
        <v>0.21172171088251218</v>
      </c>
      <c r="AB25" s="54">
        <f t="shared" si="1"/>
        <v>0.97210526315789469</v>
      </c>
      <c r="AC25" s="54">
        <v>2.62</v>
      </c>
      <c r="AD25" s="192" t="s">
        <v>183</v>
      </c>
    </row>
    <row r="26" spans="1:30" ht="57" customHeight="1" x14ac:dyDescent="0.2">
      <c r="A26" s="100">
        <v>41065</v>
      </c>
      <c r="B26" s="55" t="s">
        <v>184</v>
      </c>
      <c r="C26" s="56">
        <v>23</v>
      </c>
      <c r="D26" s="57">
        <v>33</v>
      </c>
      <c r="E26" s="57">
        <v>15</v>
      </c>
      <c r="F26" s="28" t="s">
        <v>169</v>
      </c>
      <c r="G26" s="29" t="s">
        <v>194</v>
      </c>
      <c r="H26" s="57">
        <v>2</v>
      </c>
      <c r="I26" s="30" t="s">
        <v>117</v>
      </c>
      <c r="J26" s="114" t="s">
        <v>186</v>
      </c>
      <c r="K26" s="58" t="s">
        <v>185</v>
      </c>
      <c r="L26" s="58">
        <v>50</v>
      </c>
      <c r="M26" s="31"/>
      <c r="N26" s="58">
        <v>8</v>
      </c>
      <c r="O26" s="58" t="s">
        <v>62</v>
      </c>
      <c r="P26" s="172" t="s">
        <v>67</v>
      </c>
      <c r="Q26" s="172" t="s">
        <v>84</v>
      </c>
      <c r="R26" s="172" t="s">
        <v>47</v>
      </c>
      <c r="S26" s="172">
        <v>-4</v>
      </c>
      <c r="T26" s="172" t="s">
        <v>62</v>
      </c>
      <c r="U26" s="173">
        <v>1</v>
      </c>
      <c r="V26" s="172" t="s">
        <v>139</v>
      </c>
      <c r="W26" s="172">
        <v>1000</v>
      </c>
      <c r="X26" s="172" t="s">
        <v>98</v>
      </c>
      <c r="Y26" s="174">
        <v>7</v>
      </c>
      <c r="Z26" s="175" t="s">
        <v>201</v>
      </c>
      <c r="AA26" s="227">
        <f t="shared" si="0"/>
        <v>0.21172171088251218</v>
      </c>
      <c r="AB26" s="103">
        <f t="shared" si="1"/>
        <v>0.97210526315789469</v>
      </c>
      <c r="AC26" s="103">
        <v>2.62</v>
      </c>
      <c r="AD26" s="197" t="s">
        <v>192</v>
      </c>
    </row>
    <row r="27" spans="1:30" ht="39.950000000000003" customHeight="1" x14ac:dyDescent="0.2">
      <c r="A27" s="102">
        <v>41065</v>
      </c>
      <c r="B27" s="105" t="s">
        <v>199</v>
      </c>
      <c r="C27" s="106">
        <v>24</v>
      </c>
      <c r="D27" s="107" t="s">
        <v>195</v>
      </c>
      <c r="E27" s="107">
        <v>27</v>
      </c>
      <c r="F27" s="260" t="s">
        <v>114</v>
      </c>
      <c r="G27" s="108" t="s">
        <v>196</v>
      </c>
      <c r="H27" s="107">
        <v>2</v>
      </c>
      <c r="I27" s="109" t="s">
        <v>37</v>
      </c>
      <c r="J27" s="116" t="s">
        <v>197</v>
      </c>
      <c r="K27" s="110">
        <v>9</v>
      </c>
      <c r="L27" s="110">
        <v>50</v>
      </c>
      <c r="M27" s="111"/>
      <c r="N27" s="110">
        <v>8</v>
      </c>
      <c r="O27" s="110" t="s">
        <v>62</v>
      </c>
      <c r="P27" s="180" t="s">
        <v>45</v>
      </c>
      <c r="Q27" s="180" t="s">
        <v>84</v>
      </c>
      <c r="R27" s="180" t="s">
        <v>47</v>
      </c>
      <c r="S27" s="180">
        <v>-4</v>
      </c>
      <c r="T27" s="180" t="s">
        <v>62</v>
      </c>
      <c r="U27" s="181">
        <v>1</v>
      </c>
      <c r="V27" s="180" t="s">
        <v>139</v>
      </c>
      <c r="W27" s="180">
        <v>1000</v>
      </c>
      <c r="X27" s="180" t="s">
        <v>98</v>
      </c>
      <c r="Y27" s="182">
        <v>3</v>
      </c>
      <c r="Z27" s="183"/>
      <c r="AA27" s="228">
        <f t="shared" si="0"/>
        <v>0.21172171088251218</v>
      </c>
      <c r="AB27" s="112">
        <f t="shared" si="1"/>
        <v>0.97210526315789469</v>
      </c>
      <c r="AC27" s="112">
        <v>2.62</v>
      </c>
      <c r="AD27" s="199" t="s">
        <v>198</v>
      </c>
    </row>
    <row r="28" spans="1:30" ht="39.950000000000003" customHeight="1" thickBot="1" x14ac:dyDescent="0.25">
      <c r="A28" s="102">
        <v>41065</v>
      </c>
      <c r="B28" s="104" t="s">
        <v>202</v>
      </c>
      <c r="C28" s="68">
        <v>24</v>
      </c>
      <c r="D28" s="69" t="s">
        <v>200</v>
      </c>
      <c r="E28" s="69">
        <v>27</v>
      </c>
      <c r="F28" s="261" t="s">
        <v>114</v>
      </c>
      <c r="G28" s="71" t="s">
        <v>196</v>
      </c>
      <c r="H28" s="69">
        <v>2</v>
      </c>
      <c r="I28" s="82" t="s">
        <v>37</v>
      </c>
      <c r="J28" s="83" t="s">
        <v>197</v>
      </c>
      <c r="K28" s="72">
        <v>9</v>
      </c>
      <c r="L28" s="72">
        <v>50</v>
      </c>
      <c r="M28" s="73"/>
      <c r="N28" s="72">
        <v>8</v>
      </c>
      <c r="O28" s="72" t="s">
        <v>62</v>
      </c>
      <c r="P28" s="169" t="s">
        <v>45</v>
      </c>
      <c r="Q28" s="169" t="s">
        <v>84</v>
      </c>
      <c r="R28" s="169" t="s">
        <v>47</v>
      </c>
      <c r="S28" s="169">
        <v>-4</v>
      </c>
      <c r="T28" s="169" t="s">
        <v>62</v>
      </c>
      <c r="U28" s="158">
        <v>1</v>
      </c>
      <c r="V28" s="169" t="s">
        <v>139</v>
      </c>
      <c r="W28" s="169">
        <v>1000</v>
      </c>
      <c r="X28" s="169" t="s">
        <v>98</v>
      </c>
      <c r="Y28" s="170">
        <v>3</v>
      </c>
      <c r="Z28" s="160"/>
      <c r="AA28" s="226">
        <f t="shared" si="0"/>
        <v>0.21172171088251218</v>
      </c>
      <c r="AB28" s="74">
        <f t="shared" si="1"/>
        <v>0.97210526315789469</v>
      </c>
      <c r="AC28" s="74">
        <v>2.62</v>
      </c>
      <c r="AD28" s="194" t="s">
        <v>203</v>
      </c>
    </row>
    <row r="29" spans="1:30" ht="84" customHeight="1" x14ac:dyDescent="0.2">
      <c r="A29" s="100">
        <v>41071</v>
      </c>
      <c r="B29" s="15" t="s">
        <v>215</v>
      </c>
      <c r="C29" s="19">
        <v>25</v>
      </c>
      <c r="D29" s="52">
        <v>46</v>
      </c>
      <c r="E29" s="52">
        <v>22</v>
      </c>
      <c r="F29" s="34" t="s">
        <v>204</v>
      </c>
      <c r="G29" s="35" t="s">
        <v>187</v>
      </c>
      <c r="H29" s="52">
        <v>2</v>
      </c>
      <c r="I29" s="36" t="s">
        <v>205</v>
      </c>
      <c r="J29" s="37" t="s">
        <v>206</v>
      </c>
      <c r="K29" s="53" t="s">
        <v>207</v>
      </c>
      <c r="L29" s="53">
        <v>50</v>
      </c>
      <c r="M29" s="39"/>
      <c r="N29" s="53" t="s">
        <v>141</v>
      </c>
      <c r="O29" s="53"/>
      <c r="P29" s="167" t="s">
        <v>67</v>
      </c>
      <c r="Q29" s="167" t="s">
        <v>84</v>
      </c>
      <c r="R29" s="167" t="s">
        <v>47</v>
      </c>
      <c r="S29" s="167">
        <v>-4</v>
      </c>
      <c r="T29" s="167" t="s">
        <v>62</v>
      </c>
      <c r="U29" s="164">
        <v>1</v>
      </c>
      <c r="V29" s="167" t="s">
        <v>139</v>
      </c>
      <c r="W29" s="167">
        <v>1000</v>
      </c>
      <c r="X29" s="167" t="s">
        <v>98</v>
      </c>
      <c r="Y29" s="168">
        <v>5</v>
      </c>
      <c r="Z29" s="166" t="s">
        <v>212</v>
      </c>
      <c r="AA29" s="216">
        <f>158.73/749.29</f>
        <v>0.21184054238011985</v>
      </c>
      <c r="AB29" s="54">
        <f>749.29/760</f>
        <v>0.98590789473684204</v>
      </c>
      <c r="AC29" s="54">
        <v>2.73</v>
      </c>
      <c r="AD29" s="196" t="s">
        <v>216</v>
      </c>
    </row>
    <row r="30" spans="1:30" ht="96.75" customHeight="1" x14ac:dyDescent="0.2">
      <c r="A30" s="100">
        <v>41071</v>
      </c>
      <c r="B30" s="13" t="s">
        <v>218</v>
      </c>
      <c r="C30" s="2">
        <v>26</v>
      </c>
      <c r="D30" s="3">
        <v>47</v>
      </c>
      <c r="E30" s="3">
        <v>22</v>
      </c>
      <c r="F30" s="7" t="s">
        <v>204</v>
      </c>
      <c r="G30" s="9" t="s">
        <v>187</v>
      </c>
      <c r="H30" s="3">
        <v>2</v>
      </c>
      <c r="I30" s="11" t="s">
        <v>208</v>
      </c>
      <c r="J30" s="23" t="s">
        <v>213</v>
      </c>
      <c r="K30" s="4" t="s">
        <v>219</v>
      </c>
      <c r="L30" s="4">
        <v>50</v>
      </c>
      <c r="M30" s="24"/>
      <c r="N30" s="4">
        <v>10</v>
      </c>
      <c r="O30" s="4"/>
      <c r="P30" s="142" t="s">
        <v>67</v>
      </c>
      <c r="Q30" s="142" t="s">
        <v>84</v>
      </c>
      <c r="R30" s="142" t="s">
        <v>47</v>
      </c>
      <c r="S30" s="142">
        <v>-4</v>
      </c>
      <c r="T30" s="142" t="s">
        <v>62</v>
      </c>
      <c r="U30" s="143">
        <v>1</v>
      </c>
      <c r="V30" s="142" t="s">
        <v>139</v>
      </c>
      <c r="W30" s="142">
        <v>1000</v>
      </c>
      <c r="X30" s="142" t="s">
        <v>98</v>
      </c>
      <c r="Y30" s="144">
        <v>2</v>
      </c>
      <c r="Z30" s="145" t="s">
        <v>209</v>
      </c>
      <c r="AA30" s="216">
        <f>158.73/749.29</f>
        <v>0.21184054238011985</v>
      </c>
      <c r="AB30" s="54">
        <f>749.29/760</f>
        <v>0.98590789473684204</v>
      </c>
      <c r="AC30" s="54">
        <v>2.73</v>
      </c>
      <c r="AD30" s="192" t="s">
        <v>217</v>
      </c>
    </row>
    <row r="31" spans="1:30" ht="67.5" customHeight="1" x14ac:dyDescent="0.2">
      <c r="A31" s="100">
        <v>41071</v>
      </c>
      <c r="B31" s="13" t="s">
        <v>221</v>
      </c>
      <c r="C31" s="2">
        <v>27</v>
      </c>
      <c r="D31" s="3">
        <v>48</v>
      </c>
      <c r="E31" s="3">
        <v>22</v>
      </c>
      <c r="F31" s="7" t="s">
        <v>204</v>
      </c>
      <c r="G31" s="9" t="s">
        <v>187</v>
      </c>
      <c r="H31" s="3">
        <v>2</v>
      </c>
      <c r="I31" s="11" t="s">
        <v>208</v>
      </c>
      <c r="J31" s="23" t="s">
        <v>214</v>
      </c>
      <c r="K31" s="4" t="s">
        <v>219</v>
      </c>
      <c r="L31" s="4">
        <v>50</v>
      </c>
      <c r="M31" s="24"/>
      <c r="N31" s="4">
        <v>8</v>
      </c>
      <c r="O31" s="4" t="s">
        <v>62</v>
      </c>
      <c r="P31" s="142" t="s">
        <v>67</v>
      </c>
      <c r="Q31" s="142" t="s">
        <v>84</v>
      </c>
      <c r="R31" s="142" t="s">
        <v>47</v>
      </c>
      <c r="S31" s="142">
        <v>-4</v>
      </c>
      <c r="T31" s="142" t="s">
        <v>62</v>
      </c>
      <c r="U31" s="143">
        <v>1</v>
      </c>
      <c r="V31" s="142" t="s">
        <v>139</v>
      </c>
      <c r="W31" s="142">
        <v>1000</v>
      </c>
      <c r="X31" s="142" t="s">
        <v>98</v>
      </c>
      <c r="Y31" s="144">
        <v>4</v>
      </c>
      <c r="Z31" s="145" t="s">
        <v>210</v>
      </c>
      <c r="AA31" s="216">
        <f>158.73/749.29</f>
        <v>0.21184054238011985</v>
      </c>
      <c r="AB31" s="54">
        <f>749.29/760</f>
        <v>0.98590789473684204</v>
      </c>
      <c r="AC31" s="54">
        <v>2.73</v>
      </c>
      <c r="AD31" s="192" t="s">
        <v>220</v>
      </c>
    </row>
    <row r="32" spans="1:30" s="75" customFormat="1" ht="69.75" customHeight="1" thickBot="1" x14ac:dyDescent="0.25">
      <c r="A32" s="117">
        <v>41071</v>
      </c>
      <c r="B32" s="118" t="s">
        <v>223</v>
      </c>
      <c r="C32" s="119">
        <v>28</v>
      </c>
      <c r="D32" s="120">
        <v>49</v>
      </c>
      <c r="E32" s="120">
        <v>22</v>
      </c>
      <c r="F32" s="121" t="s">
        <v>204</v>
      </c>
      <c r="G32" s="122" t="s">
        <v>187</v>
      </c>
      <c r="H32" s="120">
        <v>2</v>
      </c>
      <c r="I32" s="123" t="s">
        <v>208</v>
      </c>
      <c r="J32" s="124" t="s">
        <v>214</v>
      </c>
      <c r="K32" s="125" t="s">
        <v>219</v>
      </c>
      <c r="L32" s="125">
        <v>50</v>
      </c>
      <c r="M32" s="126"/>
      <c r="N32" s="125">
        <v>8</v>
      </c>
      <c r="O32" s="125" t="s">
        <v>62</v>
      </c>
      <c r="P32" s="184" t="s">
        <v>67</v>
      </c>
      <c r="Q32" s="184" t="s">
        <v>84</v>
      </c>
      <c r="R32" s="184" t="s">
        <v>47</v>
      </c>
      <c r="S32" s="184">
        <v>-4</v>
      </c>
      <c r="T32" s="185" t="s">
        <v>62</v>
      </c>
      <c r="U32" s="186">
        <v>1</v>
      </c>
      <c r="V32" s="184" t="s">
        <v>139</v>
      </c>
      <c r="W32" s="184">
        <v>1000</v>
      </c>
      <c r="X32" s="184" t="s">
        <v>98</v>
      </c>
      <c r="Y32" s="187">
        <v>4</v>
      </c>
      <c r="Z32" s="188" t="s">
        <v>211</v>
      </c>
      <c r="AA32" s="217">
        <f>158.73/749.29</f>
        <v>0.21184054238011985</v>
      </c>
      <c r="AB32" s="127">
        <f>749.29/760</f>
        <v>0.98590789473684204</v>
      </c>
      <c r="AC32" s="128">
        <v>2.73</v>
      </c>
      <c r="AD32" s="200" t="s">
        <v>222</v>
      </c>
    </row>
    <row r="33" spans="1:30" ht="39.950000000000003" customHeight="1" x14ac:dyDescent="0.2">
      <c r="A33" s="99">
        <v>41074</v>
      </c>
      <c r="B33" s="15" t="s">
        <v>229</v>
      </c>
      <c r="C33" s="19">
        <v>29</v>
      </c>
      <c r="D33" s="52">
        <v>22</v>
      </c>
      <c r="E33" s="52">
        <v>18</v>
      </c>
      <c r="F33" s="34" t="s">
        <v>224</v>
      </c>
      <c r="G33" s="35" t="s">
        <v>187</v>
      </c>
      <c r="H33" s="52">
        <v>2</v>
      </c>
      <c r="I33" s="36" t="s">
        <v>225</v>
      </c>
      <c r="J33" s="37" t="s">
        <v>227</v>
      </c>
      <c r="K33" s="53" t="s">
        <v>228</v>
      </c>
      <c r="L33" s="53">
        <v>50</v>
      </c>
      <c r="M33" s="39"/>
      <c r="N33" s="53">
        <v>8</v>
      </c>
      <c r="O33" s="53" t="s">
        <v>62</v>
      </c>
      <c r="P33" s="189" t="s">
        <v>67</v>
      </c>
      <c r="Q33" s="189" t="s">
        <v>84</v>
      </c>
      <c r="R33" s="189" t="s">
        <v>47</v>
      </c>
      <c r="S33" s="189">
        <v>-4</v>
      </c>
      <c r="T33" s="189" t="s">
        <v>62</v>
      </c>
      <c r="U33" s="161">
        <v>1</v>
      </c>
      <c r="V33" s="189" t="s">
        <v>139</v>
      </c>
      <c r="W33" s="189">
        <v>1000</v>
      </c>
      <c r="X33" s="189" t="s">
        <v>98</v>
      </c>
      <c r="Y33" s="190">
        <v>8</v>
      </c>
      <c r="Z33" s="166" t="s">
        <v>226</v>
      </c>
      <c r="AA33" s="216">
        <f>156.86/750.9</f>
        <v>0.20889599147689442</v>
      </c>
      <c r="AB33" s="54">
        <f>750.9/760</f>
        <v>0.98802631578947364</v>
      </c>
      <c r="AC33" s="54">
        <v>2.6</v>
      </c>
      <c r="AD33" s="196" t="s">
        <v>241</v>
      </c>
    </row>
    <row r="34" spans="1:30" ht="48.75" customHeight="1" x14ac:dyDescent="0.2">
      <c r="A34" s="100">
        <v>41074</v>
      </c>
      <c r="B34" s="13" t="s">
        <v>233</v>
      </c>
      <c r="C34" s="2">
        <v>30</v>
      </c>
      <c r="D34" s="3">
        <v>23</v>
      </c>
      <c r="E34" s="3">
        <v>18</v>
      </c>
      <c r="F34" s="7" t="s">
        <v>224</v>
      </c>
      <c r="G34" s="9" t="s">
        <v>187</v>
      </c>
      <c r="H34" s="3">
        <v>2</v>
      </c>
      <c r="I34" s="36" t="s">
        <v>225</v>
      </c>
      <c r="J34" s="23" t="s">
        <v>214</v>
      </c>
      <c r="K34" s="4" t="s">
        <v>230</v>
      </c>
      <c r="L34" s="4">
        <v>50</v>
      </c>
      <c r="M34" s="24"/>
      <c r="N34" s="4">
        <v>8</v>
      </c>
      <c r="O34" s="4" t="s">
        <v>62</v>
      </c>
      <c r="P34" s="142" t="s">
        <v>67</v>
      </c>
      <c r="Q34" s="142" t="s">
        <v>84</v>
      </c>
      <c r="R34" s="142" t="s">
        <v>47</v>
      </c>
      <c r="S34" s="142">
        <v>-4</v>
      </c>
      <c r="T34" s="142" t="s">
        <v>62</v>
      </c>
      <c r="U34" s="143">
        <v>1</v>
      </c>
      <c r="V34" s="142" t="s">
        <v>139</v>
      </c>
      <c r="W34" s="142">
        <v>1000</v>
      </c>
      <c r="X34" s="142" t="s">
        <v>98</v>
      </c>
      <c r="Y34" s="144">
        <v>8</v>
      </c>
      <c r="Z34" s="145" t="s">
        <v>232</v>
      </c>
      <c r="AA34" s="216">
        <f>156.86/750.9</f>
        <v>0.20889599147689442</v>
      </c>
      <c r="AB34" s="54">
        <f>750.9/760</f>
        <v>0.98802631578947364</v>
      </c>
      <c r="AC34" s="54">
        <v>2.6</v>
      </c>
      <c r="AD34" s="192" t="s">
        <v>231</v>
      </c>
    </row>
    <row r="35" spans="1:30" ht="39.950000000000003" customHeight="1" x14ac:dyDescent="0.2">
      <c r="A35" s="100">
        <v>41074</v>
      </c>
      <c r="B35" s="13" t="s">
        <v>234</v>
      </c>
      <c r="C35" s="2">
        <v>31</v>
      </c>
      <c r="D35" s="3">
        <v>24</v>
      </c>
      <c r="E35" s="3">
        <v>18</v>
      </c>
      <c r="F35" s="7" t="s">
        <v>224</v>
      </c>
      <c r="G35" s="9" t="s">
        <v>187</v>
      </c>
      <c r="H35" s="3">
        <v>2</v>
      </c>
      <c r="I35" s="36" t="s">
        <v>225</v>
      </c>
      <c r="J35" s="23" t="s">
        <v>227</v>
      </c>
      <c r="K35" s="4" t="s">
        <v>230</v>
      </c>
      <c r="L35" s="4">
        <v>50</v>
      </c>
      <c r="M35" s="24"/>
      <c r="N35" s="4">
        <v>10</v>
      </c>
      <c r="O35" s="4"/>
      <c r="P35" s="142" t="s">
        <v>67</v>
      </c>
      <c r="Q35" s="142" t="s">
        <v>84</v>
      </c>
      <c r="R35" s="142" t="s">
        <v>47</v>
      </c>
      <c r="S35" s="142">
        <v>-4</v>
      </c>
      <c r="T35" s="142" t="s">
        <v>62</v>
      </c>
      <c r="U35" s="143">
        <v>1</v>
      </c>
      <c r="V35" s="142" t="s">
        <v>139</v>
      </c>
      <c r="W35" s="142">
        <v>1000</v>
      </c>
      <c r="X35" s="142" t="s">
        <v>98</v>
      </c>
      <c r="Y35" s="144">
        <v>9</v>
      </c>
      <c r="Z35" s="145" t="s">
        <v>239</v>
      </c>
      <c r="AA35" s="216">
        <f>156.86/750.9</f>
        <v>0.20889599147689442</v>
      </c>
      <c r="AB35" s="54">
        <f>750.9/760</f>
        <v>0.98802631578947364</v>
      </c>
      <c r="AC35" s="54">
        <v>2.6</v>
      </c>
      <c r="AD35" s="192" t="s">
        <v>237</v>
      </c>
    </row>
    <row r="36" spans="1:30" ht="39.950000000000003" customHeight="1" thickBot="1" x14ac:dyDescent="0.25">
      <c r="A36" s="117">
        <v>41074</v>
      </c>
      <c r="B36" s="118" t="s">
        <v>238</v>
      </c>
      <c r="C36" s="119">
        <v>32</v>
      </c>
      <c r="D36" s="120">
        <v>25</v>
      </c>
      <c r="E36" s="120">
        <v>18</v>
      </c>
      <c r="F36" s="121" t="s">
        <v>224</v>
      </c>
      <c r="G36" s="122" t="s">
        <v>187</v>
      </c>
      <c r="H36" s="120">
        <v>2</v>
      </c>
      <c r="I36" s="123" t="s">
        <v>225</v>
      </c>
      <c r="J36" s="124" t="s">
        <v>235</v>
      </c>
      <c r="K36" s="125">
        <v>4</v>
      </c>
      <c r="L36" s="125">
        <v>50</v>
      </c>
      <c r="M36" s="126"/>
      <c r="N36" s="125">
        <v>10</v>
      </c>
      <c r="O36" s="125" t="s">
        <v>62</v>
      </c>
      <c r="P36" s="184" t="s">
        <v>67</v>
      </c>
      <c r="Q36" s="184" t="s">
        <v>84</v>
      </c>
      <c r="R36" s="184" t="s">
        <v>47</v>
      </c>
      <c r="S36" s="184">
        <v>-4</v>
      </c>
      <c r="T36" s="184" t="s">
        <v>62</v>
      </c>
      <c r="U36" s="186">
        <v>1</v>
      </c>
      <c r="V36" s="184" t="s">
        <v>139</v>
      </c>
      <c r="W36" s="185">
        <v>1000</v>
      </c>
      <c r="X36" s="184" t="s">
        <v>98</v>
      </c>
      <c r="Y36" s="187">
        <v>9</v>
      </c>
      <c r="Z36" s="188" t="s">
        <v>236</v>
      </c>
      <c r="AA36" s="217">
        <f>156.86/750.9</f>
        <v>0.20889599147689442</v>
      </c>
      <c r="AB36" s="127">
        <f>750.9/760</f>
        <v>0.98802631578947364</v>
      </c>
      <c r="AC36" s="127">
        <v>2.6</v>
      </c>
      <c r="AD36" s="201" t="s">
        <v>242</v>
      </c>
    </row>
    <row r="37" spans="1:30" ht="39.950000000000003" customHeight="1" x14ac:dyDescent="0.2">
      <c r="A37" s="99">
        <v>41078</v>
      </c>
      <c r="B37" s="15" t="s">
        <v>246</v>
      </c>
      <c r="C37" s="19">
        <v>33</v>
      </c>
      <c r="D37" s="52">
        <v>58</v>
      </c>
      <c r="E37" s="52">
        <v>25</v>
      </c>
      <c r="F37" s="34" t="s">
        <v>204</v>
      </c>
      <c r="G37" s="35" t="s">
        <v>263</v>
      </c>
      <c r="H37" s="52">
        <v>2</v>
      </c>
      <c r="I37" s="36" t="s">
        <v>240</v>
      </c>
      <c r="J37" s="37" t="s">
        <v>243</v>
      </c>
      <c r="K37" s="53" t="s">
        <v>244</v>
      </c>
      <c r="L37" s="53">
        <v>50</v>
      </c>
      <c r="M37" s="39"/>
      <c r="N37" s="53">
        <v>8</v>
      </c>
      <c r="O37" s="53" t="s">
        <v>62</v>
      </c>
      <c r="P37" s="167" t="s">
        <v>67</v>
      </c>
      <c r="Q37" s="167" t="s">
        <v>84</v>
      </c>
      <c r="R37" s="167" t="s">
        <v>47</v>
      </c>
      <c r="S37" s="167">
        <v>-4</v>
      </c>
      <c r="T37" s="167" t="s">
        <v>62</v>
      </c>
      <c r="U37" s="164">
        <v>1</v>
      </c>
      <c r="V37" s="167" t="s">
        <v>139</v>
      </c>
      <c r="W37" s="167">
        <v>1000</v>
      </c>
      <c r="X37" s="167" t="s">
        <v>98</v>
      </c>
      <c r="Y37" s="168">
        <v>6</v>
      </c>
      <c r="Z37" s="166" t="s">
        <v>245</v>
      </c>
      <c r="AA37" s="216">
        <f>(161.34/(580.5+161.34))</f>
        <v>0.21748625040439987</v>
      </c>
      <c r="AB37" s="54">
        <f>(580.5+161.34)/760</f>
        <v>0.97610526315789481</v>
      </c>
      <c r="AC37" s="54">
        <v>3.16</v>
      </c>
      <c r="AD37" s="196" t="s">
        <v>262</v>
      </c>
    </row>
    <row r="38" spans="1:30" ht="39.950000000000003" customHeight="1" x14ac:dyDescent="0.2">
      <c r="A38" s="100">
        <v>41078</v>
      </c>
      <c r="B38" s="13" t="s">
        <v>252</v>
      </c>
      <c r="C38" s="2">
        <v>34</v>
      </c>
      <c r="D38" s="3">
        <v>59</v>
      </c>
      <c r="E38" s="3">
        <v>25</v>
      </c>
      <c r="F38" s="7" t="s">
        <v>204</v>
      </c>
      <c r="G38" s="9" t="s">
        <v>263</v>
      </c>
      <c r="H38" s="3">
        <v>2</v>
      </c>
      <c r="I38" s="11" t="s">
        <v>247</v>
      </c>
      <c r="J38" s="23" t="s">
        <v>248</v>
      </c>
      <c r="K38" s="4" t="s">
        <v>249</v>
      </c>
      <c r="L38" s="4">
        <v>50</v>
      </c>
      <c r="M38" s="24"/>
      <c r="N38" s="4">
        <v>8</v>
      </c>
      <c r="O38" s="4" t="s">
        <v>62</v>
      </c>
      <c r="P38" s="142" t="s">
        <v>67</v>
      </c>
      <c r="Q38" s="142" t="s">
        <v>84</v>
      </c>
      <c r="R38" s="142" t="s">
        <v>47</v>
      </c>
      <c r="S38" s="142">
        <v>-4</v>
      </c>
      <c r="T38" s="142" t="s">
        <v>62</v>
      </c>
      <c r="U38" s="143">
        <v>1</v>
      </c>
      <c r="V38" s="142" t="s">
        <v>139</v>
      </c>
      <c r="W38" s="142">
        <v>1000</v>
      </c>
      <c r="X38" s="142" t="s">
        <v>98</v>
      </c>
      <c r="Y38" s="144">
        <v>7</v>
      </c>
      <c r="Z38" s="145" t="s">
        <v>251</v>
      </c>
      <c r="AA38" s="216">
        <f>(161.34/(580.5+161.34))</f>
        <v>0.21748625040439987</v>
      </c>
      <c r="AB38" s="54">
        <f>(580.5+161.34)/760</f>
        <v>0.97610526315789481</v>
      </c>
      <c r="AC38" s="54">
        <v>3.16</v>
      </c>
      <c r="AD38" s="192" t="s">
        <v>250</v>
      </c>
    </row>
    <row r="39" spans="1:30" ht="39.950000000000003" customHeight="1" x14ac:dyDescent="0.2">
      <c r="A39" s="100">
        <v>41078</v>
      </c>
      <c r="B39" s="13" t="s">
        <v>256</v>
      </c>
      <c r="C39" s="2">
        <v>35</v>
      </c>
      <c r="D39" s="3">
        <v>60</v>
      </c>
      <c r="E39" s="3">
        <v>25</v>
      </c>
      <c r="F39" s="7" t="s">
        <v>204</v>
      </c>
      <c r="G39" s="9" t="s">
        <v>263</v>
      </c>
      <c r="H39" s="3">
        <v>2</v>
      </c>
      <c r="I39" s="11" t="s">
        <v>247</v>
      </c>
      <c r="J39" s="23" t="s">
        <v>253</v>
      </c>
      <c r="K39" s="4" t="s">
        <v>255</v>
      </c>
      <c r="L39" s="4">
        <v>50</v>
      </c>
      <c r="M39" s="24"/>
      <c r="N39" s="4">
        <v>8</v>
      </c>
      <c r="O39" s="4" t="s">
        <v>62</v>
      </c>
      <c r="P39" s="142" t="s">
        <v>67</v>
      </c>
      <c r="Q39" s="142" t="s">
        <v>84</v>
      </c>
      <c r="R39" s="142" t="s">
        <v>47</v>
      </c>
      <c r="S39" s="142">
        <v>-4</v>
      </c>
      <c r="T39" s="142" t="s">
        <v>62</v>
      </c>
      <c r="U39" s="143">
        <v>1</v>
      </c>
      <c r="V39" s="142" t="s">
        <v>139</v>
      </c>
      <c r="W39" s="142">
        <v>1000</v>
      </c>
      <c r="X39" s="142" t="s">
        <v>98</v>
      </c>
      <c r="Y39" s="144">
        <v>3</v>
      </c>
      <c r="Z39" s="145" t="s">
        <v>254</v>
      </c>
      <c r="AA39" s="216">
        <f>(161.34/(580.5+161.34))</f>
        <v>0.21748625040439987</v>
      </c>
      <c r="AB39" s="54">
        <f>(580.5+161.34)/760</f>
        <v>0.97610526315789481</v>
      </c>
      <c r="AC39" s="54">
        <v>3.16</v>
      </c>
      <c r="AD39" s="192" t="s">
        <v>257</v>
      </c>
    </row>
    <row r="40" spans="1:30" ht="69" customHeight="1" thickBot="1" x14ac:dyDescent="0.25">
      <c r="A40" s="203">
        <v>41078</v>
      </c>
      <c r="B40" s="67" t="s">
        <v>258</v>
      </c>
      <c r="C40" s="68">
        <v>36</v>
      </c>
      <c r="D40" s="69">
        <v>61</v>
      </c>
      <c r="E40" s="69">
        <v>25</v>
      </c>
      <c r="F40" s="70" t="s">
        <v>204</v>
      </c>
      <c r="G40" s="71" t="s">
        <v>263</v>
      </c>
      <c r="H40" s="69">
        <v>2</v>
      </c>
      <c r="I40" s="82" t="s">
        <v>240</v>
      </c>
      <c r="J40" s="83" t="s">
        <v>259</v>
      </c>
      <c r="K40" s="72" t="s">
        <v>260</v>
      </c>
      <c r="L40" s="72">
        <v>50</v>
      </c>
      <c r="M40" s="73"/>
      <c r="N40" s="202">
        <v>10</v>
      </c>
      <c r="O40" s="125"/>
      <c r="P40" s="184" t="s">
        <v>67</v>
      </c>
      <c r="Q40" s="185" t="s">
        <v>84</v>
      </c>
      <c r="R40" s="184" t="s">
        <v>47</v>
      </c>
      <c r="S40" s="184">
        <v>-4</v>
      </c>
      <c r="T40" s="184" t="s">
        <v>62</v>
      </c>
      <c r="U40" s="186">
        <v>1</v>
      </c>
      <c r="V40" s="184" t="s">
        <v>139</v>
      </c>
      <c r="W40" s="184">
        <v>1000</v>
      </c>
      <c r="X40" s="184" t="s">
        <v>98</v>
      </c>
      <c r="Y40" s="187">
        <v>5</v>
      </c>
      <c r="Z40" s="188" t="s">
        <v>261</v>
      </c>
      <c r="AA40" s="217">
        <f>(161.34/(580.5+161.34))</f>
        <v>0.21748625040439987</v>
      </c>
      <c r="AB40" s="127">
        <f>(580.5+161.34)/760</f>
        <v>0.97610526315789481</v>
      </c>
      <c r="AC40" s="127">
        <v>3.16</v>
      </c>
      <c r="AD40" s="201" t="s">
        <v>264</v>
      </c>
    </row>
    <row r="41" spans="1:30" ht="39.950000000000003" customHeight="1" x14ac:dyDescent="0.2">
      <c r="A41" s="99">
        <v>41088</v>
      </c>
      <c r="B41" s="15" t="s">
        <v>269</v>
      </c>
      <c r="C41" s="19">
        <v>37</v>
      </c>
      <c r="D41" s="52">
        <v>5</v>
      </c>
      <c r="E41" s="52">
        <v>9</v>
      </c>
      <c r="F41" s="40" t="s">
        <v>29</v>
      </c>
      <c r="G41" s="35" t="s">
        <v>30</v>
      </c>
      <c r="H41" s="52">
        <v>2</v>
      </c>
      <c r="I41" s="36" t="s">
        <v>270</v>
      </c>
      <c r="J41" s="37" t="s">
        <v>267</v>
      </c>
      <c r="K41" s="53" t="s">
        <v>268</v>
      </c>
      <c r="L41" s="53">
        <v>50</v>
      </c>
      <c r="M41" s="39"/>
      <c r="N41" s="53">
        <v>8</v>
      </c>
      <c r="O41" s="53" t="s">
        <v>62</v>
      </c>
      <c r="P41" s="167" t="s">
        <v>45</v>
      </c>
      <c r="Q41" s="167" t="s">
        <v>84</v>
      </c>
      <c r="R41" s="167" t="s">
        <v>121</v>
      </c>
      <c r="S41" s="167" t="s">
        <v>265</v>
      </c>
      <c r="T41" s="167" t="s">
        <v>62</v>
      </c>
      <c r="U41" s="164">
        <v>1</v>
      </c>
      <c r="V41" s="167" t="s">
        <v>122</v>
      </c>
      <c r="W41" s="167">
        <v>1000</v>
      </c>
      <c r="X41" s="167" t="s">
        <v>98</v>
      </c>
      <c r="Y41" s="168">
        <v>2</v>
      </c>
      <c r="Z41" s="166" t="s">
        <v>272</v>
      </c>
      <c r="AA41" s="216">
        <f>(163.15)/(163.15+579)</f>
        <v>0.21983426531024727</v>
      </c>
      <c r="AB41" s="54">
        <f>(163.15+579)/760</f>
        <v>0.97651315789473681</v>
      </c>
      <c r="AC41" s="54">
        <v>2.85</v>
      </c>
      <c r="AD41" s="196" t="s">
        <v>278</v>
      </c>
    </row>
    <row r="42" spans="1:30" ht="39.950000000000003" customHeight="1" x14ac:dyDescent="0.2">
      <c r="A42" s="100">
        <v>41088</v>
      </c>
      <c r="B42" s="13" t="s">
        <v>274</v>
      </c>
      <c r="C42" s="2">
        <v>38</v>
      </c>
      <c r="D42" s="3">
        <v>14</v>
      </c>
      <c r="E42" s="3">
        <v>29</v>
      </c>
      <c r="F42" s="263" t="s">
        <v>266</v>
      </c>
      <c r="G42" s="9" t="s">
        <v>30</v>
      </c>
      <c r="H42" s="3">
        <v>2</v>
      </c>
      <c r="I42" s="11" t="s">
        <v>270</v>
      </c>
      <c r="J42" s="23" t="s">
        <v>271</v>
      </c>
      <c r="K42" s="4">
        <v>14.5</v>
      </c>
      <c r="L42" s="4">
        <v>50</v>
      </c>
      <c r="M42" s="24"/>
      <c r="N42" s="4">
        <v>8</v>
      </c>
      <c r="O42" s="4" t="s">
        <v>62</v>
      </c>
      <c r="P42" s="142" t="s">
        <v>45</v>
      </c>
      <c r="Q42" s="142" t="s">
        <v>84</v>
      </c>
      <c r="R42" s="142" t="s">
        <v>121</v>
      </c>
      <c r="S42" s="142" t="s">
        <v>128</v>
      </c>
      <c r="T42" s="142" t="s">
        <v>62</v>
      </c>
      <c r="U42" s="143">
        <v>1</v>
      </c>
      <c r="V42" s="142" t="s">
        <v>122</v>
      </c>
      <c r="W42" s="142">
        <v>1000</v>
      </c>
      <c r="X42" s="142" t="s">
        <v>98</v>
      </c>
      <c r="Y42" s="144">
        <v>2</v>
      </c>
      <c r="Z42" s="145" t="s">
        <v>273</v>
      </c>
      <c r="AA42" s="216">
        <f>(163.15)/(163.15+579)</f>
        <v>0.21983426531024727</v>
      </c>
      <c r="AB42" s="54">
        <f>(163.15+579)/760</f>
        <v>0.97651315789473681</v>
      </c>
      <c r="AC42" s="54">
        <v>2.85</v>
      </c>
      <c r="AD42" s="192" t="s">
        <v>277</v>
      </c>
    </row>
    <row r="43" spans="1:30" ht="102" customHeight="1" x14ac:dyDescent="0.2">
      <c r="A43" s="100">
        <v>41088</v>
      </c>
      <c r="B43" s="13" t="s">
        <v>279</v>
      </c>
      <c r="C43" s="2">
        <v>39</v>
      </c>
      <c r="D43" s="3">
        <v>66</v>
      </c>
      <c r="E43" s="3">
        <v>33</v>
      </c>
      <c r="F43" s="262" t="s">
        <v>275</v>
      </c>
      <c r="G43" s="9" t="s">
        <v>189</v>
      </c>
      <c r="H43" s="3">
        <v>2</v>
      </c>
      <c r="I43" s="11" t="s">
        <v>276</v>
      </c>
      <c r="J43" s="23" t="s">
        <v>280</v>
      </c>
      <c r="K43" s="4" t="s">
        <v>281</v>
      </c>
      <c r="L43" s="4">
        <v>50</v>
      </c>
      <c r="M43" s="24"/>
      <c r="N43" s="4">
        <v>8</v>
      </c>
      <c r="O43" s="4" t="s">
        <v>62</v>
      </c>
      <c r="P43" s="142" t="s">
        <v>45</v>
      </c>
      <c r="Q43" s="142" t="s">
        <v>84</v>
      </c>
      <c r="R43" s="142" t="s">
        <v>47</v>
      </c>
      <c r="S43" s="142">
        <v>-5</v>
      </c>
      <c r="T43" s="142" t="s">
        <v>62</v>
      </c>
      <c r="U43" s="143">
        <v>1</v>
      </c>
      <c r="V43" s="142" t="s">
        <v>139</v>
      </c>
      <c r="W43" s="142">
        <v>1000</v>
      </c>
      <c r="X43" s="142" t="s">
        <v>98</v>
      </c>
      <c r="Y43" s="144">
        <v>4</v>
      </c>
      <c r="Z43" s="145" t="s">
        <v>285</v>
      </c>
      <c r="AA43" s="216">
        <f>(163.15)/(163.15+579)</f>
        <v>0.21983426531024727</v>
      </c>
      <c r="AB43" s="54">
        <f>(163.15+579)/760</f>
        <v>0.97651315789473681</v>
      </c>
      <c r="AC43" s="54">
        <v>2.85</v>
      </c>
      <c r="AD43" s="192" t="s">
        <v>282</v>
      </c>
    </row>
    <row r="44" spans="1:30" ht="39.950000000000003" customHeight="1" thickBot="1" x14ac:dyDescent="0.25">
      <c r="A44" s="117">
        <v>41088</v>
      </c>
      <c r="B44" s="118" t="s">
        <v>283</v>
      </c>
      <c r="C44" s="119">
        <v>40</v>
      </c>
      <c r="D44" s="120">
        <v>67</v>
      </c>
      <c r="E44" s="120">
        <v>33</v>
      </c>
      <c r="F44" s="266" t="s">
        <v>275</v>
      </c>
      <c r="G44" s="122" t="s">
        <v>189</v>
      </c>
      <c r="H44" s="120">
        <v>2</v>
      </c>
      <c r="I44" s="123"/>
      <c r="J44" s="124" t="s">
        <v>284</v>
      </c>
      <c r="K44" s="125" t="s">
        <v>730</v>
      </c>
      <c r="L44" s="125">
        <v>50</v>
      </c>
      <c r="M44" s="126"/>
      <c r="N44" s="125">
        <v>8</v>
      </c>
      <c r="O44" s="125" t="s">
        <v>62</v>
      </c>
      <c r="P44" s="184" t="s">
        <v>45</v>
      </c>
      <c r="Q44" s="184" t="s">
        <v>84</v>
      </c>
      <c r="R44" s="184" t="s">
        <v>47</v>
      </c>
      <c r="S44" s="184">
        <v>-5</v>
      </c>
      <c r="T44" s="184" t="s">
        <v>62</v>
      </c>
      <c r="U44" s="186">
        <v>1</v>
      </c>
      <c r="V44" s="184" t="s">
        <v>139</v>
      </c>
      <c r="W44" s="184">
        <v>1000</v>
      </c>
      <c r="X44" s="184" t="s">
        <v>98</v>
      </c>
      <c r="Y44" s="187">
        <v>8</v>
      </c>
      <c r="Z44" s="188"/>
      <c r="AA44" s="217">
        <f>(163.15)/(163.15+579)</f>
        <v>0.21983426531024727</v>
      </c>
      <c r="AB44" s="127">
        <f>(163.15+579)/760</f>
        <v>0.97651315789473681</v>
      </c>
      <c r="AC44" s="127">
        <v>2.85</v>
      </c>
      <c r="AD44" s="201" t="s">
        <v>287</v>
      </c>
    </row>
    <row r="45" spans="1:30" ht="71.25" customHeight="1" x14ac:dyDescent="0.2">
      <c r="A45" s="99">
        <v>41089</v>
      </c>
      <c r="B45" s="15" t="s">
        <v>291</v>
      </c>
      <c r="C45" s="19">
        <v>41</v>
      </c>
      <c r="D45" s="52">
        <v>34</v>
      </c>
      <c r="E45" s="52">
        <v>16</v>
      </c>
      <c r="F45" s="34" t="s">
        <v>224</v>
      </c>
      <c r="G45" s="35" t="s">
        <v>286</v>
      </c>
      <c r="H45" s="52">
        <v>2</v>
      </c>
      <c r="I45" s="36" t="s">
        <v>240</v>
      </c>
      <c r="J45" s="37" t="s">
        <v>288</v>
      </c>
      <c r="K45" s="53">
        <v>0</v>
      </c>
      <c r="L45" s="53">
        <v>50</v>
      </c>
      <c r="M45" s="39"/>
      <c r="N45" s="53">
        <v>8</v>
      </c>
      <c r="O45" s="53">
        <v>393</v>
      </c>
      <c r="P45" s="167" t="s">
        <v>67</v>
      </c>
      <c r="Q45" s="167" t="s">
        <v>84</v>
      </c>
      <c r="R45" s="167" t="s">
        <v>47</v>
      </c>
      <c r="S45" s="167">
        <v>-4</v>
      </c>
      <c r="T45" s="167" t="s">
        <v>62</v>
      </c>
      <c r="U45" s="164">
        <v>1</v>
      </c>
      <c r="V45" s="167" t="s">
        <v>139</v>
      </c>
      <c r="W45" s="167">
        <v>1000</v>
      </c>
      <c r="X45" s="167" t="s">
        <v>98</v>
      </c>
      <c r="Y45" s="168">
        <v>8</v>
      </c>
      <c r="Z45" s="166" t="s">
        <v>294</v>
      </c>
      <c r="AA45" s="216">
        <f>164.23/750.1</f>
        <v>0.21894414078122915</v>
      </c>
      <c r="AB45" s="54">
        <f>750.1/760</f>
        <v>0.98697368421052634</v>
      </c>
      <c r="AC45" s="54">
        <v>2.5</v>
      </c>
      <c r="AD45" s="196" t="s">
        <v>289</v>
      </c>
    </row>
    <row r="46" spans="1:30" ht="39.950000000000003" customHeight="1" x14ac:dyDescent="0.2">
      <c r="A46" s="2" t="s">
        <v>292</v>
      </c>
      <c r="B46" s="13" t="s">
        <v>293</v>
      </c>
      <c r="C46" s="2">
        <v>42</v>
      </c>
      <c r="D46" s="3">
        <v>35</v>
      </c>
      <c r="E46" s="3">
        <v>16</v>
      </c>
      <c r="F46" s="7" t="s">
        <v>224</v>
      </c>
      <c r="G46" s="9" t="s">
        <v>191</v>
      </c>
      <c r="H46" s="3">
        <v>2</v>
      </c>
      <c r="I46" s="11" t="s">
        <v>240</v>
      </c>
      <c r="J46" s="23" t="s">
        <v>290</v>
      </c>
      <c r="K46" s="4">
        <v>0</v>
      </c>
      <c r="L46" s="4">
        <v>50</v>
      </c>
      <c r="M46" s="24"/>
      <c r="N46" s="4">
        <v>8</v>
      </c>
      <c r="O46" s="4" t="s">
        <v>62</v>
      </c>
      <c r="P46" s="142" t="s">
        <v>67</v>
      </c>
      <c r="Q46" s="142" t="s">
        <v>84</v>
      </c>
      <c r="R46" s="142" t="s">
        <v>47</v>
      </c>
      <c r="S46" s="142">
        <v>-4</v>
      </c>
      <c r="T46" s="142" t="s">
        <v>62</v>
      </c>
      <c r="U46" s="143">
        <v>1</v>
      </c>
      <c r="V46" s="142" t="s">
        <v>139</v>
      </c>
      <c r="W46" s="142">
        <v>1000</v>
      </c>
      <c r="X46" s="142" t="s">
        <v>98</v>
      </c>
      <c r="Y46" s="144">
        <v>9</v>
      </c>
      <c r="Z46" s="145" t="s">
        <v>295</v>
      </c>
      <c r="AA46" s="216">
        <f>164.23/750.1</f>
        <v>0.21894414078122915</v>
      </c>
      <c r="AB46" s="54">
        <f>750.1/760</f>
        <v>0.98697368421052634</v>
      </c>
      <c r="AC46" s="54">
        <v>2.5</v>
      </c>
      <c r="AD46" s="192" t="s">
        <v>296</v>
      </c>
    </row>
    <row r="47" spans="1:30" ht="39.950000000000003" customHeight="1" x14ac:dyDescent="0.2">
      <c r="A47" s="100">
        <v>41089</v>
      </c>
      <c r="B47" s="13" t="s">
        <v>300</v>
      </c>
      <c r="C47" s="2">
        <v>43</v>
      </c>
      <c r="D47" s="3">
        <v>16</v>
      </c>
      <c r="E47" s="3">
        <v>31</v>
      </c>
      <c r="F47" s="264" t="s">
        <v>297</v>
      </c>
      <c r="G47" s="9" t="s">
        <v>30</v>
      </c>
      <c r="H47" s="3">
        <v>2</v>
      </c>
      <c r="I47" s="11" t="s">
        <v>298</v>
      </c>
      <c r="J47" s="23" t="s">
        <v>130</v>
      </c>
      <c r="K47" s="4">
        <v>14.5</v>
      </c>
      <c r="L47" s="4">
        <v>50</v>
      </c>
      <c r="M47" s="24"/>
      <c r="N47" s="4">
        <v>8</v>
      </c>
      <c r="O47" s="4" t="s">
        <v>62</v>
      </c>
      <c r="P47" s="142" t="s">
        <v>45</v>
      </c>
      <c r="Q47" s="142" t="s">
        <v>84</v>
      </c>
      <c r="R47" s="142" t="s">
        <v>121</v>
      </c>
      <c r="S47" s="142" t="s">
        <v>299</v>
      </c>
      <c r="T47" s="142" t="s">
        <v>62</v>
      </c>
      <c r="U47" s="143">
        <v>1</v>
      </c>
      <c r="V47" s="142" t="s">
        <v>122</v>
      </c>
      <c r="W47" s="142">
        <v>1000</v>
      </c>
      <c r="X47" s="142" t="s">
        <v>98</v>
      </c>
      <c r="Y47" s="144">
        <v>9</v>
      </c>
      <c r="Z47" s="145" t="s">
        <v>306</v>
      </c>
      <c r="AA47" s="216">
        <f>164.23/750.1</f>
        <v>0.21894414078122915</v>
      </c>
      <c r="AB47" s="54">
        <f>750.1/760</f>
        <v>0.98697368421052634</v>
      </c>
      <c r="AC47" s="54">
        <v>2.5</v>
      </c>
      <c r="AD47" s="192" t="s">
        <v>301</v>
      </c>
    </row>
    <row r="48" spans="1:30" ht="59.25" customHeight="1" thickBot="1" x14ac:dyDescent="0.25">
      <c r="A48" s="117">
        <v>41089</v>
      </c>
      <c r="B48" s="118" t="s">
        <v>307</v>
      </c>
      <c r="C48" s="119">
        <v>44</v>
      </c>
      <c r="D48" s="120" t="s">
        <v>302</v>
      </c>
      <c r="E48" s="120">
        <v>9</v>
      </c>
      <c r="F48" s="265" t="s">
        <v>303</v>
      </c>
      <c r="G48" s="122" t="s">
        <v>304</v>
      </c>
      <c r="H48" s="120">
        <v>2</v>
      </c>
      <c r="I48" s="123" t="s">
        <v>247</v>
      </c>
      <c r="J48" s="124" t="s">
        <v>124</v>
      </c>
      <c r="K48" s="125">
        <v>10</v>
      </c>
      <c r="L48" s="125">
        <v>50</v>
      </c>
      <c r="M48" s="126"/>
      <c r="N48" s="125">
        <v>8</v>
      </c>
      <c r="O48" s="125" t="s">
        <v>62</v>
      </c>
      <c r="P48" s="184" t="s">
        <v>45</v>
      </c>
      <c r="Q48" s="184" t="s">
        <v>84</v>
      </c>
      <c r="R48" s="184" t="s">
        <v>121</v>
      </c>
      <c r="S48" s="184" t="s">
        <v>305</v>
      </c>
      <c r="T48" s="184" t="s">
        <v>62</v>
      </c>
      <c r="U48" s="186">
        <v>1</v>
      </c>
      <c r="V48" s="184" t="s">
        <v>122</v>
      </c>
      <c r="W48" s="184">
        <v>1000</v>
      </c>
      <c r="X48" s="184" t="s">
        <v>98</v>
      </c>
      <c r="Y48" s="187">
        <v>9</v>
      </c>
      <c r="Z48" s="188" t="s">
        <v>310</v>
      </c>
      <c r="AA48" s="217">
        <f>164.23/750.1</f>
        <v>0.21894414078122915</v>
      </c>
      <c r="AB48" s="127">
        <f>750.1/760</f>
        <v>0.98697368421052634</v>
      </c>
      <c r="AC48" s="127">
        <v>2.5</v>
      </c>
      <c r="AD48" s="201" t="s">
        <v>308</v>
      </c>
    </row>
    <row r="49" spans="1:30" ht="39.950000000000003" customHeight="1" x14ac:dyDescent="0.2">
      <c r="A49" s="204">
        <v>41093</v>
      </c>
      <c r="B49" s="15" t="s">
        <v>312</v>
      </c>
      <c r="C49" s="19">
        <v>45</v>
      </c>
      <c r="D49" s="52">
        <v>6</v>
      </c>
      <c r="E49" s="52">
        <v>8</v>
      </c>
      <c r="F49" s="40" t="s">
        <v>29</v>
      </c>
      <c r="G49" s="35" t="s">
        <v>30</v>
      </c>
      <c r="H49" s="52">
        <v>2</v>
      </c>
      <c r="I49" s="36" t="s">
        <v>311</v>
      </c>
      <c r="J49" s="37" t="s">
        <v>314</v>
      </c>
      <c r="K49" s="53">
        <v>9</v>
      </c>
      <c r="L49" s="53">
        <v>50</v>
      </c>
      <c r="M49" s="39"/>
      <c r="N49" s="53">
        <v>8</v>
      </c>
      <c r="O49" s="53" t="s">
        <v>62</v>
      </c>
      <c r="P49" s="167" t="s">
        <v>45</v>
      </c>
      <c r="Q49" s="167" t="s">
        <v>84</v>
      </c>
      <c r="R49" s="167" t="s">
        <v>121</v>
      </c>
      <c r="S49" s="167" t="s">
        <v>305</v>
      </c>
      <c r="T49" s="167" t="s">
        <v>62</v>
      </c>
      <c r="U49" s="164">
        <v>1</v>
      </c>
      <c r="V49" s="167" t="s">
        <v>122</v>
      </c>
      <c r="W49" s="167">
        <v>1000</v>
      </c>
      <c r="X49" s="167" t="s">
        <v>98</v>
      </c>
      <c r="Y49" s="168">
        <v>6</v>
      </c>
      <c r="Z49" s="166" t="s">
        <v>313</v>
      </c>
      <c r="AA49" s="216">
        <f>166.76/750.5</f>
        <v>0.22219853431045969</v>
      </c>
      <c r="AB49" s="54">
        <f>750.5/760</f>
        <v>0.98750000000000004</v>
      </c>
      <c r="AC49" s="54">
        <v>1.37</v>
      </c>
      <c r="AD49" s="196" t="s">
        <v>316</v>
      </c>
    </row>
    <row r="50" spans="1:30" ht="39.950000000000003" customHeight="1" x14ac:dyDescent="0.2">
      <c r="A50" s="205">
        <v>41093</v>
      </c>
      <c r="B50" s="13" t="s">
        <v>318</v>
      </c>
      <c r="C50" s="2">
        <v>46</v>
      </c>
      <c r="D50" s="3">
        <v>82</v>
      </c>
      <c r="E50" s="3">
        <v>35</v>
      </c>
      <c r="F50" s="207" t="s">
        <v>315</v>
      </c>
      <c r="G50" s="9" t="s">
        <v>187</v>
      </c>
      <c r="H50" s="3">
        <v>2</v>
      </c>
      <c r="I50" s="11" t="s">
        <v>270</v>
      </c>
      <c r="J50" s="23" t="s">
        <v>317</v>
      </c>
      <c r="K50" s="4" t="s">
        <v>329</v>
      </c>
      <c r="L50" s="4">
        <v>50</v>
      </c>
      <c r="M50" s="24"/>
      <c r="N50" s="4">
        <v>8</v>
      </c>
      <c r="O50" s="4" t="s">
        <v>62</v>
      </c>
      <c r="P50" s="142" t="s">
        <v>45</v>
      </c>
      <c r="Q50" s="142" t="s">
        <v>46</v>
      </c>
      <c r="R50" s="142" t="s">
        <v>47</v>
      </c>
      <c r="S50" s="142">
        <v>-5</v>
      </c>
      <c r="T50" s="142" t="s">
        <v>86</v>
      </c>
      <c r="U50" s="143"/>
      <c r="V50" s="142" t="s">
        <v>139</v>
      </c>
      <c r="W50" s="142">
        <v>1000</v>
      </c>
      <c r="X50" s="142" t="s">
        <v>330</v>
      </c>
      <c r="Y50" s="144">
        <v>6</v>
      </c>
      <c r="Z50" s="145" t="s">
        <v>319</v>
      </c>
      <c r="AA50" s="216">
        <f>166.76/750.5</f>
        <v>0.22219853431045969</v>
      </c>
      <c r="AB50" s="54">
        <f>750.5/760</f>
        <v>0.98750000000000004</v>
      </c>
      <c r="AC50" s="54">
        <v>1.37</v>
      </c>
      <c r="AD50" s="192" t="s">
        <v>326</v>
      </c>
    </row>
    <row r="51" spans="1:30" ht="39.950000000000003" customHeight="1" x14ac:dyDescent="0.2">
      <c r="A51" s="205">
        <v>41093</v>
      </c>
      <c r="B51" s="13" t="s">
        <v>322</v>
      </c>
      <c r="C51" s="2">
        <v>47</v>
      </c>
      <c r="D51" s="3" t="s">
        <v>320</v>
      </c>
      <c r="E51" s="3">
        <v>35</v>
      </c>
      <c r="F51" s="207" t="s">
        <v>315</v>
      </c>
      <c r="G51" s="9" t="s">
        <v>187</v>
      </c>
      <c r="H51" s="3">
        <v>2</v>
      </c>
      <c r="I51" s="11" t="s">
        <v>321</v>
      </c>
      <c r="J51" s="23" t="s">
        <v>323</v>
      </c>
      <c r="K51" s="4" t="s">
        <v>328</v>
      </c>
      <c r="L51" s="4">
        <v>50</v>
      </c>
      <c r="M51" s="24" t="s">
        <v>334</v>
      </c>
      <c r="N51" s="4">
        <v>8</v>
      </c>
      <c r="O51" s="4" t="s">
        <v>62</v>
      </c>
      <c r="P51" s="142" t="s">
        <v>67</v>
      </c>
      <c r="Q51" s="142" t="s">
        <v>46</v>
      </c>
      <c r="R51" s="142" t="s">
        <v>47</v>
      </c>
      <c r="S51" s="142">
        <v>-5</v>
      </c>
      <c r="T51" s="142" t="s">
        <v>86</v>
      </c>
      <c r="U51" s="143"/>
      <c r="V51" s="142" t="s">
        <v>139</v>
      </c>
      <c r="W51" s="142">
        <v>1000</v>
      </c>
      <c r="X51" s="142" t="s">
        <v>330</v>
      </c>
      <c r="Y51" s="144">
        <v>7</v>
      </c>
      <c r="Z51" s="145" t="s">
        <v>324</v>
      </c>
      <c r="AA51" s="216">
        <f>166.76/750.5</f>
        <v>0.22219853431045969</v>
      </c>
      <c r="AB51" s="54">
        <f>750.5/760</f>
        <v>0.98750000000000004</v>
      </c>
      <c r="AC51" s="54">
        <v>1.37</v>
      </c>
      <c r="AD51" s="192" t="s">
        <v>325</v>
      </c>
    </row>
    <row r="52" spans="1:30" ht="39.950000000000003" customHeight="1" x14ac:dyDescent="0.2">
      <c r="A52" s="205">
        <v>41093</v>
      </c>
      <c r="B52" s="13" t="s">
        <v>333</v>
      </c>
      <c r="C52" s="2">
        <v>48</v>
      </c>
      <c r="D52" s="3" t="s">
        <v>327</v>
      </c>
      <c r="E52" s="3">
        <v>35</v>
      </c>
      <c r="F52" s="207" t="s">
        <v>315</v>
      </c>
      <c r="G52" s="9" t="s">
        <v>187</v>
      </c>
      <c r="H52" s="3">
        <v>2</v>
      </c>
      <c r="I52" s="11" t="s">
        <v>321</v>
      </c>
      <c r="J52" s="23" t="s">
        <v>331</v>
      </c>
      <c r="K52" s="4">
        <v>5</v>
      </c>
      <c r="L52" s="4">
        <v>250</v>
      </c>
      <c r="M52" s="24" t="s">
        <v>335</v>
      </c>
      <c r="N52" s="4">
        <v>8</v>
      </c>
      <c r="O52" s="4" t="s">
        <v>62</v>
      </c>
      <c r="P52" s="142" t="s">
        <v>45</v>
      </c>
      <c r="Q52" s="142" t="s">
        <v>46</v>
      </c>
      <c r="R52" s="142" t="s">
        <v>47</v>
      </c>
      <c r="S52" s="142">
        <v>-5</v>
      </c>
      <c r="T52" s="142" t="s">
        <v>86</v>
      </c>
      <c r="U52" s="143"/>
      <c r="V52" s="142" t="s">
        <v>139</v>
      </c>
      <c r="W52" s="142">
        <v>1600</v>
      </c>
      <c r="X52" s="142" t="s">
        <v>330</v>
      </c>
      <c r="Y52" s="144">
        <v>7</v>
      </c>
      <c r="Z52" s="145" t="s">
        <v>338</v>
      </c>
      <c r="AA52" s="216">
        <f>166.76/750.5</f>
        <v>0.22219853431045969</v>
      </c>
      <c r="AB52" s="54">
        <f>750.5/760</f>
        <v>0.98750000000000004</v>
      </c>
      <c r="AC52" s="54">
        <v>1.37</v>
      </c>
      <c r="AD52" s="192" t="s">
        <v>332</v>
      </c>
    </row>
    <row r="53" spans="1:30" ht="47.25" customHeight="1" thickBot="1" x14ac:dyDescent="0.25">
      <c r="A53" s="206">
        <v>41093</v>
      </c>
      <c r="B53" s="118" t="s">
        <v>341</v>
      </c>
      <c r="C53" s="119">
        <v>49</v>
      </c>
      <c r="D53" s="120">
        <v>68</v>
      </c>
      <c r="E53" s="120">
        <v>33</v>
      </c>
      <c r="F53" s="266" t="s">
        <v>336</v>
      </c>
      <c r="G53" s="122" t="s">
        <v>187</v>
      </c>
      <c r="H53" s="120">
        <v>2</v>
      </c>
      <c r="I53" s="123" t="s">
        <v>337</v>
      </c>
      <c r="J53" s="124" t="s">
        <v>181</v>
      </c>
      <c r="K53" s="125">
        <v>6</v>
      </c>
      <c r="L53" s="125">
        <v>50</v>
      </c>
      <c r="M53" s="126"/>
      <c r="N53" s="125">
        <v>8</v>
      </c>
      <c r="O53" s="125" t="s">
        <v>62</v>
      </c>
      <c r="P53" s="184" t="s">
        <v>45</v>
      </c>
      <c r="Q53" s="184" t="s">
        <v>84</v>
      </c>
      <c r="R53" s="184" t="s">
        <v>47</v>
      </c>
      <c r="S53" s="184">
        <v>-5</v>
      </c>
      <c r="T53" s="184" t="s">
        <v>62</v>
      </c>
      <c r="U53" s="186">
        <v>1</v>
      </c>
      <c r="V53" s="184" t="s">
        <v>139</v>
      </c>
      <c r="W53" s="184">
        <v>1000</v>
      </c>
      <c r="X53" s="184" t="s">
        <v>98</v>
      </c>
      <c r="Y53" s="187">
        <v>3</v>
      </c>
      <c r="Z53" s="188" t="s">
        <v>339</v>
      </c>
      <c r="AA53" s="217">
        <f>166.76/750.5</f>
        <v>0.22219853431045969</v>
      </c>
      <c r="AB53" s="127">
        <f>750.5/760</f>
        <v>0.98750000000000004</v>
      </c>
      <c r="AC53" s="127">
        <v>1.37</v>
      </c>
      <c r="AD53" s="201" t="s">
        <v>340</v>
      </c>
    </row>
    <row r="54" spans="1:30" ht="72" customHeight="1" x14ac:dyDescent="0.2">
      <c r="A54" s="204">
        <v>41102</v>
      </c>
      <c r="B54" s="15" t="s">
        <v>343</v>
      </c>
      <c r="C54" s="19">
        <v>50</v>
      </c>
      <c r="D54" s="52">
        <v>69</v>
      </c>
      <c r="E54" s="52">
        <v>33</v>
      </c>
      <c r="F54" s="267" t="s">
        <v>336</v>
      </c>
      <c r="G54" s="35" t="s">
        <v>342</v>
      </c>
      <c r="H54" s="52">
        <v>2</v>
      </c>
      <c r="I54" s="36" t="s">
        <v>337</v>
      </c>
      <c r="J54" s="37" t="s">
        <v>124</v>
      </c>
      <c r="K54" s="53">
        <v>10</v>
      </c>
      <c r="L54" s="53">
        <v>1000</v>
      </c>
      <c r="M54" s="39"/>
      <c r="N54" s="53">
        <v>8</v>
      </c>
      <c r="O54" s="53" t="s">
        <v>62</v>
      </c>
      <c r="P54" s="167" t="s">
        <v>45</v>
      </c>
      <c r="Q54" s="167" t="s">
        <v>84</v>
      </c>
      <c r="R54" s="167" t="s">
        <v>47</v>
      </c>
      <c r="S54" s="167">
        <v>-4</v>
      </c>
      <c r="T54" s="167" t="s">
        <v>62</v>
      </c>
      <c r="U54" s="164">
        <v>1</v>
      </c>
      <c r="V54" s="167" t="s">
        <v>122</v>
      </c>
      <c r="W54" s="167">
        <v>1000</v>
      </c>
      <c r="X54" s="167" t="s">
        <v>98</v>
      </c>
      <c r="Y54" s="168">
        <v>5</v>
      </c>
      <c r="Z54" s="166" t="s">
        <v>140</v>
      </c>
      <c r="AA54" s="216">
        <f>168.08/750.9</f>
        <v>0.22383806099347453</v>
      </c>
      <c r="AB54" s="54">
        <f>750.9/760</f>
        <v>0.98802631578947364</v>
      </c>
      <c r="AC54" s="54">
        <v>1.57</v>
      </c>
      <c r="AD54" s="196" t="s">
        <v>345</v>
      </c>
    </row>
    <row r="55" spans="1:30" ht="57.75" customHeight="1" x14ac:dyDescent="0.2">
      <c r="A55" s="205">
        <v>41102</v>
      </c>
      <c r="B55" s="13" t="s">
        <v>348</v>
      </c>
      <c r="C55" s="2">
        <v>51</v>
      </c>
      <c r="D55" s="3">
        <v>111</v>
      </c>
      <c r="E55" s="3">
        <v>21</v>
      </c>
      <c r="F55" s="7" t="s">
        <v>344</v>
      </c>
      <c r="G55" s="9" t="s">
        <v>191</v>
      </c>
      <c r="H55" s="3">
        <v>2</v>
      </c>
      <c r="I55" s="11" t="s">
        <v>346</v>
      </c>
      <c r="J55" s="23" t="s">
        <v>124</v>
      </c>
      <c r="K55" s="4">
        <v>10</v>
      </c>
      <c r="L55" s="4">
        <v>50</v>
      </c>
      <c r="M55" s="24"/>
      <c r="N55" s="4" t="s">
        <v>349</v>
      </c>
      <c r="O55" s="4" t="s">
        <v>350</v>
      </c>
      <c r="P55" s="142" t="s">
        <v>45</v>
      </c>
      <c r="Q55" s="142" t="s">
        <v>84</v>
      </c>
      <c r="R55" s="142" t="s">
        <v>47</v>
      </c>
      <c r="S55" s="142">
        <v>-4</v>
      </c>
      <c r="T55" s="142" t="s">
        <v>62</v>
      </c>
      <c r="U55" s="143">
        <v>1</v>
      </c>
      <c r="V55" s="142" t="s">
        <v>139</v>
      </c>
      <c r="W55" s="142">
        <v>1000</v>
      </c>
      <c r="X55" s="142" t="s">
        <v>98</v>
      </c>
      <c r="Y55" s="144">
        <v>5</v>
      </c>
      <c r="Z55" s="145" t="s">
        <v>347</v>
      </c>
      <c r="AA55" s="216">
        <f>168.08/750.9</f>
        <v>0.22383806099347453</v>
      </c>
      <c r="AB55" s="54">
        <f>750.9/760</f>
        <v>0.98802631578947364</v>
      </c>
      <c r="AC55" s="54">
        <v>1.57</v>
      </c>
      <c r="AD55" s="192" t="s">
        <v>351</v>
      </c>
    </row>
    <row r="56" spans="1:30" ht="57.75" customHeight="1" x14ac:dyDescent="0.2">
      <c r="A56" s="205">
        <v>41102</v>
      </c>
      <c r="B56" s="13" t="s">
        <v>353</v>
      </c>
      <c r="C56" s="2">
        <v>52</v>
      </c>
      <c r="D56" s="3">
        <v>112</v>
      </c>
      <c r="E56" s="3">
        <v>21</v>
      </c>
      <c r="F56" s="7" t="s">
        <v>344</v>
      </c>
      <c r="G56" s="9" t="s">
        <v>191</v>
      </c>
      <c r="H56" s="3">
        <v>2</v>
      </c>
      <c r="I56" s="11" t="s">
        <v>346</v>
      </c>
      <c r="J56" s="23" t="s">
        <v>124</v>
      </c>
      <c r="K56" s="4">
        <v>10</v>
      </c>
      <c r="L56" s="4">
        <v>50</v>
      </c>
      <c r="M56" s="24"/>
      <c r="N56" s="4" t="s">
        <v>355</v>
      </c>
      <c r="O56" s="4"/>
      <c r="P56" s="142" t="s">
        <v>45</v>
      </c>
      <c r="Q56" s="142" t="s">
        <v>84</v>
      </c>
      <c r="R56" s="142" t="s">
        <v>47</v>
      </c>
      <c r="S56" s="142">
        <v>-4</v>
      </c>
      <c r="T56" s="142" t="s">
        <v>62</v>
      </c>
      <c r="U56" s="143">
        <v>1</v>
      </c>
      <c r="V56" s="142" t="s">
        <v>139</v>
      </c>
      <c r="W56" s="142">
        <v>1000</v>
      </c>
      <c r="X56" s="142" t="s">
        <v>98</v>
      </c>
      <c r="Y56" s="144">
        <v>2</v>
      </c>
      <c r="Z56" s="145" t="s">
        <v>352</v>
      </c>
      <c r="AA56" s="216">
        <f>168.08/750.9</f>
        <v>0.22383806099347453</v>
      </c>
      <c r="AB56" s="54">
        <f>750.9/760</f>
        <v>0.98802631578947364</v>
      </c>
      <c r="AC56" s="54">
        <v>1.57</v>
      </c>
      <c r="AD56" s="192" t="s">
        <v>354</v>
      </c>
    </row>
    <row r="57" spans="1:30" ht="90" thickBot="1" x14ac:dyDescent="0.25">
      <c r="A57" s="206">
        <v>41102</v>
      </c>
      <c r="B57" s="118" t="s">
        <v>356</v>
      </c>
      <c r="C57" s="119">
        <v>53</v>
      </c>
      <c r="D57" s="120">
        <v>113</v>
      </c>
      <c r="E57" s="120">
        <v>21</v>
      </c>
      <c r="F57" s="121" t="s">
        <v>344</v>
      </c>
      <c r="G57" s="122" t="s">
        <v>191</v>
      </c>
      <c r="H57" s="120">
        <v>2</v>
      </c>
      <c r="I57" s="123" t="s">
        <v>346</v>
      </c>
      <c r="J57" s="124" t="s">
        <v>124</v>
      </c>
      <c r="K57" s="125">
        <v>10</v>
      </c>
      <c r="L57" s="125">
        <v>50</v>
      </c>
      <c r="M57" s="126"/>
      <c r="N57" s="125" t="s">
        <v>357</v>
      </c>
      <c r="O57" s="125">
        <v>495</v>
      </c>
      <c r="P57" s="184" t="s">
        <v>45</v>
      </c>
      <c r="Q57" s="184" t="s">
        <v>84</v>
      </c>
      <c r="R57" s="184" t="s">
        <v>47</v>
      </c>
      <c r="S57" s="184">
        <v>-5</v>
      </c>
      <c r="T57" s="184" t="s">
        <v>62</v>
      </c>
      <c r="U57" s="186">
        <v>1</v>
      </c>
      <c r="V57" s="184" t="s">
        <v>139</v>
      </c>
      <c r="W57" s="184">
        <v>1000</v>
      </c>
      <c r="X57" s="184" t="s">
        <v>98</v>
      </c>
      <c r="Y57" s="187">
        <v>4</v>
      </c>
      <c r="Z57" s="188" t="s">
        <v>358</v>
      </c>
      <c r="AA57" s="217">
        <f>168.08/750.9</f>
        <v>0.22383806099347453</v>
      </c>
      <c r="AB57" s="127">
        <f>750.9/760</f>
        <v>0.98802631578947364</v>
      </c>
      <c r="AC57" s="127">
        <v>1.57</v>
      </c>
      <c r="AD57" s="201" t="s">
        <v>359</v>
      </c>
    </row>
    <row r="58" spans="1:30" ht="27" x14ac:dyDescent="0.2">
      <c r="A58" s="204">
        <v>41109</v>
      </c>
      <c r="B58" s="15" t="s">
        <v>382</v>
      </c>
      <c r="C58" s="19">
        <v>54</v>
      </c>
      <c r="D58" s="52">
        <v>2</v>
      </c>
      <c r="E58" s="52">
        <v>5</v>
      </c>
      <c r="F58" s="40" t="s">
        <v>29</v>
      </c>
      <c r="G58" s="35" t="s">
        <v>30</v>
      </c>
      <c r="H58" s="52">
        <v>0</v>
      </c>
      <c r="I58" s="36" t="s">
        <v>360</v>
      </c>
      <c r="J58" s="37" t="s">
        <v>361</v>
      </c>
      <c r="K58" s="53" t="s">
        <v>370</v>
      </c>
      <c r="L58" s="53">
        <v>50</v>
      </c>
      <c r="M58" s="39"/>
      <c r="N58" s="53">
        <v>8</v>
      </c>
      <c r="O58" s="53" t="s">
        <v>62</v>
      </c>
      <c r="P58" s="167" t="s">
        <v>45</v>
      </c>
      <c r="Q58" s="167" t="s">
        <v>84</v>
      </c>
      <c r="R58" s="167" t="s">
        <v>121</v>
      </c>
      <c r="S58" s="167" t="s">
        <v>362</v>
      </c>
      <c r="T58" s="167" t="s">
        <v>62</v>
      </c>
      <c r="U58" s="164">
        <v>1</v>
      </c>
      <c r="V58" s="167" t="s">
        <v>363</v>
      </c>
      <c r="W58" s="167">
        <v>1000</v>
      </c>
      <c r="X58" s="167" t="s">
        <v>98</v>
      </c>
      <c r="Y58" s="168">
        <v>8</v>
      </c>
      <c r="Z58" s="166" t="s">
        <v>365</v>
      </c>
      <c r="AA58" s="216">
        <f>171.81/756.14</f>
        <v>0.22721982701616103</v>
      </c>
      <c r="AB58" s="54">
        <f>756.14/760</f>
        <v>0.99492105263157893</v>
      </c>
      <c r="AC58" s="54">
        <v>1.98</v>
      </c>
      <c r="AD58" s="196" t="s">
        <v>371</v>
      </c>
    </row>
    <row r="59" spans="1:30" ht="25.5" x14ac:dyDescent="0.2">
      <c r="A59" s="205">
        <v>41109</v>
      </c>
      <c r="B59" s="13" t="s">
        <v>368</v>
      </c>
      <c r="C59" s="2">
        <v>55</v>
      </c>
      <c r="D59" s="3">
        <v>3</v>
      </c>
      <c r="E59" s="3">
        <v>6</v>
      </c>
      <c r="F59" s="25" t="s">
        <v>29</v>
      </c>
      <c r="G59" s="9" t="s">
        <v>30</v>
      </c>
      <c r="H59" s="3">
        <v>0</v>
      </c>
      <c r="I59" s="11" t="s">
        <v>364</v>
      </c>
      <c r="J59" s="23" t="s">
        <v>367</v>
      </c>
      <c r="K59" s="4" t="s">
        <v>369</v>
      </c>
      <c r="L59" s="4">
        <v>50</v>
      </c>
      <c r="M59" s="24"/>
      <c r="N59" s="4">
        <v>8</v>
      </c>
      <c r="O59" s="4" t="s">
        <v>62</v>
      </c>
      <c r="P59" s="142" t="s">
        <v>45</v>
      </c>
      <c r="Q59" s="142" t="s">
        <v>84</v>
      </c>
      <c r="R59" s="142" t="s">
        <v>121</v>
      </c>
      <c r="S59" s="142" t="s">
        <v>299</v>
      </c>
      <c r="T59" s="142" t="s">
        <v>62</v>
      </c>
      <c r="U59" s="143">
        <v>1</v>
      </c>
      <c r="V59" s="142" t="s">
        <v>122</v>
      </c>
      <c r="W59" s="142">
        <v>1000</v>
      </c>
      <c r="X59" s="142" t="s">
        <v>98</v>
      </c>
      <c r="Y59" s="144">
        <v>8</v>
      </c>
      <c r="Z59" s="145" t="s">
        <v>366</v>
      </c>
      <c r="AA59" s="216">
        <f>173/763</f>
        <v>0.22673656618610746</v>
      </c>
      <c r="AB59" s="54">
        <f>763/760</f>
        <v>1.0039473684210527</v>
      </c>
      <c r="AC59" s="54">
        <v>1.98</v>
      </c>
      <c r="AD59" s="192" t="s">
        <v>372</v>
      </c>
    </row>
    <row r="60" spans="1:30" ht="25.5" x14ac:dyDescent="0.2">
      <c r="A60" s="205">
        <v>41109</v>
      </c>
      <c r="B60" s="13" t="s">
        <v>383</v>
      </c>
      <c r="C60" s="2">
        <v>56</v>
      </c>
      <c r="D60" s="3">
        <v>15</v>
      </c>
      <c r="E60" s="3">
        <v>30</v>
      </c>
      <c r="F60" s="263" t="s">
        <v>373</v>
      </c>
      <c r="G60" s="9" t="s">
        <v>30</v>
      </c>
      <c r="H60" s="3">
        <v>0</v>
      </c>
      <c r="I60" s="11" t="s">
        <v>321</v>
      </c>
      <c r="J60" s="23" t="s">
        <v>374</v>
      </c>
      <c r="K60" s="4">
        <v>30</v>
      </c>
      <c r="L60" s="4">
        <v>50</v>
      </c>
      <c r="M60" s="24"/>
      <c r="N60" s="4">
        <v>8</v>
      </c>
      <c r="O60" s="4" t="s">
        <v>62</v>
      </c>
      <c r="P60" s="142" t="s">
        <v>45</v>
      </c>
      <c r="Q60" s="142" t="s">
        <v>84</v>
      </c>
      <c r="R60" s="142" t="s">
        <v>121</v>
      </c>
      <c r="S60" s="142" t="s">
        <v>375</v>
      </c>
      <c r="T60" s="142" t="s">
        <v>62</v>
      </c>
      <c r="U60" s="143">
        <v>1</v>
      </c>
      <c r="V60" s="142" t="s">
        <v>122</v>
      </c>
      <c r="W60" s="142">
        <v>1000</v>
      </c>
      <c r="X60" s="142" t="s">
        <v>98</v>
      </c>
      <c r="Y60" s="144">
        <v>8</v>
      </c>
      <c r="Z60" s="145"/>
      <c r="AA60" s="216">
        <f>172.5/765.8</f>
        <v>0.225254635675111</v>
      </c>
      <c r="AB60" s="54">
        <f>765.8/760</f>
        <v>1.0076315789473684</v>
      </c>
      <c r="AC60" s="54">
        <v>1.98</v>
      </c>
      <c r="AD60" s="192" t="s">
        <v>378</v>
      </c>
    </row>
    <row r="61" spans="1:30" ht="27" x14ac:dyDescent="0.2">
      <c r="A61" s="205">
        <v>41109</v>
      </c>
      <c r="B61" s="13" t="s">
        <v>386</v>
      </c>
      <c r="C61" s="2">
        <v>57</v>
      </c>
      <c r="D61" s="3">
        <v>13</v>
      </c>
      <c r="E61" s="3">
        <v>28</v>
      </c>
      <c r="F61" s="14" t="s">
        <v>114</v>
      </c>
      <c r="G61" s="9" t="s">
        <v>30</v>
      </c>
      <c r="H61" s="3">
        <v>0</v>
      </c>
      <c r="I61" s="11" t="s">
        <v>376</v>
      </c>
      <c r="J61" s="23" t="s">
        <v>377</v>
      </c>
      <c r="K61" s="4">
        <v>15</v>
      </c>
      <c r="L61" s="4">
        <v>50</v>
      </c>
      <c r="M61" s="24"/>
      <c r="N61" s="4">
        <v>8</v>
      </c>
      <c r="O61" s="4" t="s">
        <v>62</v>
      </c>
      <c r="P61" s="142" t="s">
        <v>45</v>
      </c>
      <c r="Q61" s="142" t="s">
        <v>84</v>
      </c>
      <c r="R61" s="142" t="s">
        <v>121</v>
      </c>
      <c r="S61" s="142" t="s">
        <v>375</v>
      </c>
      <c r="T61" s="142" t="s">
        <v>62</v>
      </c>
      <c r="U61" s="143">
        <v>1</v>
      </c>
      <c r="V61" s="142" t="s">
        <v>122</v>
      </c>
      <c r="W61" s="142">
        <v>1000</v>
      </c>
      <c r="X61" s="142" t="s">
        <v>98</v>
      </c>
      <c r="Y61" s="144">
        <v>6</v>
      </c>
      <c r="Z61" s="145" t="s">
        <v>290</v>
      </c>
      <c r="AA61" s="216">
        <f>172.5/765.8</f>
        <v>0.225254635675111</v>
      </c>
      <c r="AB61" s="54">
        <f>765.8/760</f>
        <v>1.0076315789473684</v>
      </c>
      <c r="AC61" s="54">
        <v>1.98</v>
      </c>
      <c r="AD61" s="192" t="s">
        <v>387</v>
      </c>
    </row>
    <row r="62" spans="1:30" ht="25.5" x14ac:dyDescent="0.2">
      <c r="A62" s="205">
        <v>41109</v>
      </c>
      <c r="B62" s="13" t="s">
        <v>384</v>
      </c>
      <c r="C62" s="2">
        <v>58</v>
      </c>
      <c r="D62" s="3">
        <v>17</v>
      </c>
      <c r="E62" s="3">
        <v>32</v>
      </c>
      <c r="F62" s="264" t="s">
        <v>297</v>
      </c>
      <c r="G62" s="9" t="s">
        <v>30</v>
      </c>
      <c r="H62" s="3">
        <v>0</v>
      </c>
      <c r="I62" s="11" t="s">
        <v>321</v>
      </c>
      <c r="J62" s="23" t="s">
        <v>379</v>
      </c>
      <c r="K62" s="4">
        <v>8</v>
      </c>
      <c r="L62" s="4">
        <v>50</v>
      </c>
      <c r="M62" s="24"/>
      <c r="N62" s="4">
        <v>8</v>
      </c>
      <c r="O62" s="4" t="s">
        <v>62</v>
      </c>
      <c r="P62" s="142" t="s">
        <v>45</v>
      </c>
      <c r="Q62" s="142" t="s">
        <v>84</v>
      </c>
      <c r="R62" s="142" t="s">
        <v>121</v>
      </c>
      <c r="S62" s="142" t="s">
        <v>375</v>
      </c>
      <c r="T62" s="142" t="s">
        <v>62</v>
      </c>
      <c r="U62" s="143">
        <v>1</v>
      </c>
      <c r="V62" s="142" t="s">
        <v>122</v>
      </c>
      <c r="W62" s="142">
        <v>1000</v>
      </c>
      <c r="X62" s="142" t="s">
        <v>98</v>
      </c>
      <c r="Y62" s="144">
        <v>6</v>
      </c>
      <c r="Z62" s="145" t="s">
        <v>306</v>
      </c>
      <c r="AA62" s="216">
        <f>172.5/765.8</f>
        <v>0.225254635675111</v>
      </c>
      <c r="AB62" s="54">
        <f>765.8/760</f>
        <v>1.0076315789473684</v>
      </c>
      <c r="AC62" s="54">
        <v>1.98</v>
      </c>
      <c r="AD62" s="192" t="s">
        <v>385</v>
      </c>
    </row>
    <row r="63" spans="1:30" ht="26.25" thickBot="1" x14ac:dyDescent="0.25">
      <c r="A63" s="206">
        <v>41109</v>
      </c>
      <c r="B63" s="118" t="s">
        <v>388</v>
      </c>
      <c r="C63" s="119">
        <v>59</v>
      </c>
      <c r="D63" s="120">
        <v>114</v>
      </c>
      <c r="E63" s="120">
        <v>25</v>
      </c>
      <c r="F63" s="121" t="s">
        <v>380</v>
      </c>
      <c r="G63" s="122" t="s">
        <v>191</v>
      </c>
      <c r="H63" s="120">
        <v>0</v>
      </c>
      <c r="I63" s="123" t="s">
        <v>116</v>
      </c>
      <c r="J63" s="124" t="s">
        <v>235</v>
      </c>
      <c r="K63" s="125">
        <v>6.5</v>
      </c>
      <c r="L63" s="125">
        <v>50</v>
      </c>
      <c r="M63" s="126"/>
      <c r="N63" s="125">
        <v>8</v>
      </c>
      <c r="O63" s="125" t="s">
        <v>62</v>
      </c>
      <c r="P63" s="184" t="s">
        <v>45</v>
      </c>
      <c r="Q63" s="184" t="s">
        <v>84</v>
      </c>
      <c r="R63" s="184" t="s">
        <v>177</v>
      </c>
      <c r="S63" s="184">
        <v>-5</v>
      </c>
      <c r="T63" s="184" t="s">
        <v>62</v>
      </c>
      <c r="U63" s="186">
        <v>1</v>
      </c>
      <c r="V63" s="184" t="s">
        <v>139</v>
      </c>
      <c r="W63" s="184">
        <v>10000</v>
      </c>
      <c r="X63" s="184" t="s">
        <v>98</v>
      </c>
      <c r="Y63" s="187">
        <v>6</v>
      </c>
      <c r="Z63" s="188" t="s">
        <v>210</v>
      </c>
      <c r="AA63" s="217">
        <f>172.36/765.8</f>
        <v>0.22507182031862108</v>
      </c>
      <c r="AB63" s="127">
        <f>765.8/760</f>
        <v>1.0076315789473684</v>
      </c>
      <c r="AC63" s="127">
        <v>1.98</v>
      </c>
      <c r="AD63" s="201" t="s">
        <v>381</v>
      </c>
    </row>
    <row r="64" spans="1:30" ht="51" x14ac:dyDescent="0.2">
      <c r="A64" s="204">
        <v>41113</v>
      </c>
      <c r="B64" s="15" t="s">
        <v>406</v>
      </c>
      <c r="C64" s="19">
        <v>60</v>
      </c>
      <c r="D64" s="52">
        <v>62</v>
      </c>
      <c r="E64" s="52">
        <v>23</v>
      </c>
      <c r="F64" s="34" t="s">
        <v>33</v>
      </c>
      <c r="G64" s="35" t="s">
        <v>188</v>
      </c>
      <c r="H64" s="52">
        <v>0</v>
      </c>
      <c r="I64" s="36" t="s">
        <v>389</v>
      </c>
      <c r="J64" s="37" t="s">
        <v>390</v>
      </c>
      <c r="K64" s="53" t="s">
        <v>391</v>
      </c>
      <c r="L64" s="53">
        <v>50</v>
      </c>
      <c r="M64" s="39"/>
      <c r="N64" s="53">
        <v>10</v>
      </c>
      <c r="O64" s="53"/>
      <c r="P64" s="167" t="s">
        <v>67</v>
      </c>
      <c r="Q64" s="167" t="s">
        <v>84</v>
      </c>
      <c r="R64" s="167" t="s">
        <v>47</v>
      </c>
      <c r="S64" s="167">
        <v>-4</v>
      </c>
      <c r="T64" s="167" t="s">
        <v>62</v>
      </c>
      <c r="U64" s="164">
        <v>1</v>
      </c>
      <c r="V64" s="167" t="s">
        <v>139</v>
      </c>
      <c r="W64" s="167">
        <v>1000</v>
      </c>
      <c r="X64" s="167" t="s">
        <v>98</v>
      </c>
      <c r="Y64" s="168">
        <v>3</v>
      </c>
      <c r="Z64" s="166" t="s">
        <v>393</v>
      </c>
      <c r="AA64" s="216">
        <f>173.13/766.62</f>
        <v>0.22583548563825623</v>
      </c>
      <c r="AB64" s="54">
        <f>766.62/760</f>
        <v>1.0087105263157894</v>
      </c>
      <c r="AC64" s="54">
        <v>2.36</v>
      </c>
      <c r="AD64" s="196" t="s">
        <v>392</v>
      </c>
    </row>
    <row r="65" spans="1:30" ht="38.25" x14ac:dyDescent="0.2">
      <c r="A65" s="205">
        <v>41113</v>
      </c>
      <c r="B65" s="13" t="s">
        <v>397</v>
      </c>
      <c r="C65" s="2">
        <v>61</v>
      </c>
      <c r="D65" s="3">
        <v>63</v>
      </c>
      <c r="E65" s="3">
        <v>23</v>
      </c>
      <c r="F65" s="7" t="s">
        <v>33</v>
      </c>
      <c r="G65" s="9" t="s">
        <v>188</v>
      </c>
      <c r="H65" s="3">
        <v>0</v>
      </c>
      <c r="I65" s="11" t="s">
        <v>394</v>
      </c>
      <c r="J65" s="23" t="s">
        <v>395</v>
      </c>
      <c r="K65" s="4">
        <v>10</v>
      </c>
      <c r="L65" s="4">
        <v>50</v>
      </c>
      <c r="M65" s="24"/>
      <c r="N65" s="4" t="s">
        <v>396</v>
      </c>
      <c r="O65" s="4"/>
      <c r="P65" s="142" t="s">
        <v>67</v>
      </c>
      <c r="Q65" s="142" t="s">
        <v>84</v>
      </c>
      <c r="R65" s="142" t="s">
        <v>47</v>
      </c>
      <c r="S65" s="142">
        <v>-4</v>
      </c>
      <c r="T65" s="142" t="s">
        <v>62</v>
      </c>
      <c r="U65" s="143">
        <v>1</v>
      </c>
      <c r="V65" s="142" t="s">
        <v>139</v>
      </c>
      <c r="W65" s="142">
        <v>1000</v>
      </c>
      <c r="X65" s="142" t="s">
        <v>98</v>
      </c>
      <c r="Y65" s="144">
        <v>3</v>
      </c>
      <c r="Z65" s="145" t="s">
        <v>295</v>
      </c>
      <c r="AA65" s="216">
        <f>173.13/766.62</f>
        <v>0.22583548563825623</v>
      </c>
      <c r="AB65" s="54">
        <f>766.62/760</f>
        <v>1.0087105263157894</v>
      </c>
      <c r="AC65" s="54">
        <v>2.36</v>
      </c>
      <c r="AD65" s="192" t="s">
        <v>398</v>
      </c>
    </row>
    <row r="66" spans="1:30" ht="38.25" x14ac:dyDescent="0.2">
      <c r="A66" s="205">
        <v>41113</v>
      </c>
      <c r="B66" s="13" t="s">
        <v>407</v>
      </c>
      <c r="C66" s="2">
        <v>62</v>
      </c>
      <c r="D66" s="3">
        <v>64</v>
      </c>
      <c r="E66" s="3">
        <v>23</v>
      </c>
      <c r="F66" s="7" t="s">
        <v>33</v>
      </c>
      <c r="G66" s="9" t="s">
        <v>188</v>
      </c>
      <c r="H66" s="3">
        <v>0</v>
      </c>
      <c r="I66" s="11" t="s">
        <v>394</v>
      </c>
      <c r="J66" s="23" t="s">
        <v>399</v>
      </c>
      <c r="K66" s="4">
        <v>5</v>
      </c>
      <c r="L66" s="4">
        <v>50</v>
      </c>
      <c r="M66" s="24"/>
      <c r="N66" s="4" t="s">
        <v>396</v>
      </c>
      <c r="O66" s="4"/>
      <c r="P66" s="142" t="s">
        <v>67</v>
      </c>
      <c r="Q66" s="142" t="s">
        <v>84</v>
      </c>
      <c r="R66" s="142" t="s">
        <v>47</v>
      </c>
      <c r="S66" s="142">
        <v>-4</v>
      </c>
      <c r="T66" s="142" t="s">
        <v>62</v>
      </c>
      <c r="U66" s="143">
        <v>1</v>
      </c>
      <c r="V66" s="142" t="s">
        <v>139</v>
      </c>
      <c r="W66" s="142">
        <v>1000</v>
      </c>
      <c r="X66" s="142" t="s">
        <v>98</v>
      </c>
      <c r="Y66" s="144">
        <v>3</v>
      </c>
      <c r="Z66" s="145" t="s">
        <v>402</v>
      </c>
      <c r="AA66" s="216">
        <f>173.13/766.62</f>
        <v>0.22583548563825623</v>
      </c>
      <c r="AB66" s="54">
        <f>766.62/760</f>
        <v>1.0087105263157894</v>
      </c>
      <c r="AC66" s="54">
        <v>2.36</v>
      </c>
      <c r="AD66" s="192" t="s">
        <v>400</v>
      </c>
    </row>
    <row r="67" spans="1:30" ht="38.25" x14ac:dyDescent="0.2">
      <c r="A67" s="205">
        <v>41113</v>
      </c>
      <c r="B67" s="13" t="s">
        <v>404</v>
      </c>
      <c r="C67" s="2">
        <v>63</v>
      </c>
      <c r="D67" s="3">
        <v>65</v>
      </c>
      <c r="E67" s="3">
        <v>23</v>
      </c>
      <c r="F67" s="7" t="s">
        <v>33</v>
      </c>
      <c r="G67" s="9" t="s">
        <v>188</v>
      </c>
      <c r="H67" s="3">
        <v>0</v>
      </c>
      <c r="I67" s="11" t="s">
        <v>394</v>
      </c>
      <c r="J67" s="23" t="s">
        <v>399</v>
      </c>
      <c r="K67" s="4">
        <v>5</v>
      </c>
      <c r="L67" s="4">
        <v>50</v>
      </c>
      <c r="M67" s="24"/>
      <c r="N67" s="4" t="s">
        <v>401</v>
      </c>
      <c r="O67" s="4"/>
      <c r="P67" s="142" t="s">
        <v>67</v>
      </c>
      <c r="Q67" s="142" t="s">
        <v>84</v>
      </c>
      <c r="R67" s="142" t="s">
        <v>47</v>
      </c>
      <c r="S67" s="142">
        <v>-4</v>
      </c>
      <c r="T67" s="142" t="s">
        <v>62</v>
      </c>
      <c r="U67" s="143">
        <v>1</v>
      </c>
      <c r="V67" s="142" t="s">
        <v>139</v>
      </c>
      <c r="W67" s="142">
        <v>1000</v>
      </c>
      <c r="X67" s="142" t="s">
        <v>98</v>
      </c>
      <c r="Y67" s="144">
        <v>3</v>
      </c>
      <c r="Z67" s="145" t="s">
        <v>405</v>
      </c>
      <c r="AA67" s="216">
        <f>173.13/766.62</f>
        <v>0.22583548563825623</v>
      </c>
      <c r="AB67" s="54">
        <f>766.62/760</f>
        <v>1.0087105263157894</v>
      </c>
      <c r="AC67" s="54">
        <v>2.36</v>
      </c>
      <c r="AD67" s="192" t="s">
        <v>403</v>
      </c>
    </row>
    <row r="68" spans="1:30" ht="39" thickBot="1" x14ac:dyDescent="0.25">
      <c r="A68" s="205">
        <v>41113</v>
      </c>
      <c r="B68" s="118" t="s">
        <v>408</v>
      </c>
      <c r="C68" s="119">
        <v>64</v>
      </c>
      <c r="D68" s="120">
        <v>118</v>
      </c>
      <c r="E68" s="120">
        <v>23</v>
      </c>
      <c r="F68" s="121" t="s">
        <v>33</v>
      </c>
      <c r="G68" s="122" t="s">
        <v>188</v>
      </c>
      <c r="H68" s="120">
        <v>0</v>
      </c>
      <c r="I68" s="123" t="s">
        <v>394</v>
      </c>
      <c r="J68" s="124" t="s">
        <v>239</v>
      </c>
      <c r="K68" s="125"/>
      <c r="L68" s="125">
        <v>50</v>
      </c>
      <c r="M68" s="126"/>
      <c r="N68" s="125" t="s">
        <v>401</v>
      </c>
      <c r="O68" s="125"/>
      <c r="P68" s="184" t="s">
        <v>67</v>
      </c>
      <c r="Q68" s="184" t="s">
        <v>84</v>
      </c>
      <c r="R68" s="184" t="s">
        <v>47</v>
      </c>
      <c r="S68" s="184">
        <v>-4</v>
      </c>
      <c r="T68" s="184" t="s">
        <v>62</v>
      </c>
      <c r="U68" s="186">
        <v>1</v>
      </c>
      <c r="V68" s="184" t="s">
        <v>139</v>
      </c>
      <c r="W68" s="184">
        <v>1000</v>
      </c>
      <c r="X68" s="184" t="s">
        <v>98</v>
      </c>
      <c r="Y68" s="187">
        <v>4</v>
      </c>
      <c r="Z68" s="188"/>
      <c r="AA68" s="217">
        <f>173.13/766.62</f>
        <v>0.22583548563825623</v>
      </c>
      <c r="AB68" s="127">
        <f>766.62/760</f>
        <v>1.0087105263157894</v>
      </c>
      <c r="AC68" s="127">
        <v>2.36</v>
      </c>
      <c r="AD68" s="201" t="s">
        <v>415</v>
      </c>
    </row>
    <row r="69" spans="1:30" ht="51" x14ac:dyDescent="0.2">
      <c r="A69" s="208" t="s">
        <v>410</v>
      </c>
      <c r="B69" s="209">
        <v>216</v>
      </c>
      <c r="C69" s="209"/>
      <c r="D69" s="209"/>
      <c r="E69" s="210"/>
      <c r="F69" s="211" t="s">
        <v>411</v>
      </c>
      <c r="G69" s="209"/>
      <c r="H69" s="212"/>
      <c r="I69" s="211"/>
      <c r="J69" s="209"/>
      <c r="K69" s="209"/>
      <c r="L69" s="212"/>
      <c r="M69" s="209"/>
      <c r="N69" s="209"/>
      <c r="O69" s="209"/>
      <c r="P69" s="209"/>
      <c r="Q69" s="209"/>
      <c r="R69" s="209"/>
      <c r="S69" s="209"/>
      <c r="T69" s="210"/>
      <c r="U69" s="209"/>
      <c r="V69" s="209"/>
      <c r="W69" s="209"/>
      <c r="X69" s="213"/>
      <c r="Y69" s="212"/>
      <c r="Z69" s="209"/>
      <c r="AA69" s="209"/>
      <c r="AB69" s="209"/>
      <c r="AC69" s="209"/>
      <c r="AD69" s="214" t="s">
        <v>409</v>
      </c>
    </row>
    <row r="70" spans="1:30" ht="25.5" x14ac:dyDescent="0.2">
      <c r="A70" s="13" t="s">
        <v>412</v>
      </c>
      <c r="B70" s="229">
        <v>9.2570601851851855</v>
      </c>
      <c r="C70" s="3">
        <v>65</v>
      </c>
      <c r="D70" s="3">
        <v>11</v>
      </c>
      <c r="E70" s="7">
        <v>3</v>
      </c>
      <c r="F70" s="268" t="s">
        <v>113</v>
      </c>
      <c r="G70" s="3" t="s">
        <v>30</v>
      </c>
      <c r="H70" s="9" t="s">
        <v>117</v>
      </c>
      <c r="I70" s="23" t="s">
        <v>417</v>
      </c>
      <c r="J70" s="4">
        <v>98</v>
      </c>
      <c r="K70" s="4">
        <v>20</v>
      </c>
      <c r="L70" s="23" t="s">
        <v>181</v>
      </c>
      <c r="M70" s="4"/>
      <c r="N70" s="4">
        <v>8</v>
      </c>
      <c r="O70" s="142" t="s">
        <v>62</v>
      </c>
      <c r="P70" s="142" t="s">
        <v>45</v>
      </c>
      <c r="Q70" s="142" t="s">
        <v>84</v>
      </c>
      <c r="R70" s="142" t="s">
        <v>121</v>
      </c>
      <c r="S70" s="142" t="s">
        <v>413</v>
      </c>
      <c r="T70" s="143" t="s">
        <v>62</v>
      </c>
      <c r="U70" s="142">
        <v>1</v>
      </c>
      <c r="V70" s="142" t="s">
        <v>122</v>
      </c>
      <c r="W70" s="142">
        <v>1000</v>
      </c>
      <c r="X70" s="144" t="s">
        <v>98</v>
      </c>
      <c r="Y70" s="215" t="s">
        <v>414</v>
      </c>
      <c r="Z70" s="167" t="s">
        <v>419</v>
      </c>
      <c r="AA70" s="216">
        <f>162/752.92</f>
        <v>0.215162301439728</v>
      </c>
      <c r="AB70" s="54">
        <f>752.92/760</f>
        <v>0.99068421052631572</v>
      </c>
      <c r="AC70" s="54">
        <v>2.44</v>
      </c>
      <c r="AD70" s="192" t="s">
        <v>420</v>
      </c>
    </row>
    <row r="71" spans="1:30" ht="38.25" x14ac:dyDescent="0.2">
      <c r="A71" s="13" t="s">
        <v>412</v>
      </c>
      <c r="B71" s="229">
        <v>9.2621990740740738</v>
      </c>
      <c r="C71" s="3">
        <v>66</v>
      </c>
      <c r="D71" s="3">
        <v>9</v>
      </c>
      <c r="E71" s="7">
        <v>7</v>
      </c>
      <c r="F71" s="268" t="s">
        <v>29</v>
      </c>
      <c r="G71" s="3" t="s">
        <v>30</v>
      </c>
      <c r="H71" s="9" t="s">
        <v>117</v>
      </c>
      <c r="I71" s="23" t="s">
        <v>418</v>
      </c>
      <c r="J71" s="4" t="s">
        <v>422</v>
      </c>
      <c r="K71" s="4" t="s">
        <v>421</v>
      </c>
      <c r="L71" s="23" t="s">
        <v>181</v>
      </c>
      <c r="M71" s="4"/>
      <c r="N71" s="4">
        <v>8</v>
      </c>
      <c r="O71" s="142" t="s">
        <v>62</v>
      </c>
      <c r="P71" s="142" t="s">
        <v>45</v>
      </c>
      <c r="Q71" s="142" t="s">
        <v>84</v>
      </c>
      <c r="R71" s="142" t="s">
        <v>121</v>
      </c>
      <c r="S71" s="142" t="s">
        <v>416</v>
      </c>
      <c r="T71" s="143" t="s">
        <v>62</v>
      </c>
      <c r="U71" s="142">
        <v>1</v>
      </c>
      <c r="V71" s="142" t="s">
        <v>122</v>
      </c>
      <c r="W71" s="142">
        <v>1000</v>
      </c>
      <c r="X71" s="144" t="s">
        <v>98</v>
      </c>
      <c r="Y71" s="215" t="s">
        <v>414</v>
      </c>
      <c r="Z71" s="167">
        <v>104</v>
      </c>
      <c r="AA71" s="216">
        <f>162.47/752.9</f>
        <v>0.21579226988975961</v>
      </c>
      <c r="AB71" s="54">
        <f>752.9/760</f>
        <v>0.99065789473684207</v>
      </c>
      <c r="AC71" s="54">
        <v>2.5</v>
      </c>
      <c r="AD71" s="192" t="s">
        <v>426</v>
      </c>
    </row>
    <row r="72" spans="1:30" ht="39" thickBot="1" x14ac:dyDescent="0.25">
      <c r="A72" s="13" t="s">
        <v>412</v>
      </c>
      <c r="B72" s="231">
        <v>9.2623958333333345</v>
      </c>
      <c r="C72" s="120">
        <v>67</v>
      </c>
      <c r="D72" s="120">
        <v>102</v>
      </c>
      <c r="E72" s="121">
        <v>22</v>
      </c>
      <c r="F72" s="122" t="s">
        <v>33</v>
      </c>
      <c r="G72" s="120" t="s">
        <v>423</v>
      </c>
      <c r="H72" s="122" t="s">
        <v>117</v>
      </c>
      <c r="I72" s="124" t="s">
        <v>424</v>
      </c>
      <c r="J72" s="125">
        <v>51</v>
      </c>
      <c r="K72" s="125">
        <v>5</v>
      </c>
      <c r="L72" s="126" t="s">
        <v>181</v>
      </c>
      <c r="M72" s="125"/>
      <c r="N72" s="125">
        <v>8</v>
      </c>
      <c r="O72" s="184" t="s">
        <v>62</v>
      </c>
      <c r="P72" s="184" t="s">
        <v>45</v>
      </c>
      <c r="Q72" s="184" t="s">
        <v>84</v>
      </c>
      <c r="R72" s="184" t="s">
        <v>47</v>
      </c>
      <c r="S72" s="184">
        <v>-5</v>
      </c>
      <c r="T72" s="186" t="s">
        <v>62</v>
      </c>
      <c r="U72" s="184">
        <v>1</v>
      </c>
      <c r="V72" s="184" t="s">
        <v>139</v>
      </c>
      <c r="W72" s="184">
        <v>1000</v>
      </c>
      <c r="X72" s="187" t="s">
        <v>98</v>
      </c>
      <c r="Y72" s="232" t="s">
        <v>414</v>
      </c>
      <c r="Z72" s="184">
        <v>82</v>
      </c>
      <c r="AA72" s="217">
        <f>162.47/752.9</f>
        <v>0.21579226988975961</v>
      </c>
      <c r="AB72" s="127">
        <f>752.9/760</f>
        <v>0.99065789473684207</v>
      </c>
      <c r="AC72" s="127">
        <v>2.5</v>
      </c>
      <c r="AD72" s="201" t="s">
        <v>425</v>
      </c>
    </row>
    <row r="73" spans="1:30" ht="84.75" customHeight="1" x14ac:dyDescent="0.2">
      <c r="A73" s="13" t="s">
        <v>508</v>
      </c>
      <c r="B73" s="15" t="s">
        <v>433</v>
      </c>
      <c r="C73" s="52">
        <v>68</v>
      </c>
      <c r="D73" s="52" t="s">
        <v>439</v>
      </c>
      <c r="E73" s="34">
        <v>36</v>
      </c>
      <c r="F73" s="269" t="s">
        <v>431</v>
      </c>
      <c r="G73" s="233" t="s">
        <v>190</v>
      </c>
      <c r="H73" s="35" t="s">
        <v>117</v>
      </c>
      <c r="I73" s="37" t="s">
        <v>117</v>
      </c>
      <c r="J73" s="38" t="s">
        <v>435</v>
      </c>
      <c r="K73" s="53">
        <v>0</v>
      </c>
      <c r="L73" s="37" t="s">
        <v>432</v>
      </c>
      <c r="M73" s="53"/>
      <c r="N73" s="53">
        <v>8</v>
      </c>
      <c r="O73" s="167" t="s">
        <v>62</v>
      </c>
      <c r="P73" s="167" t="s">
        <v>45</v>
      </c>
      <c r="Q73" s="167" t="s">
        <v>46</v>
      </c>
      <c r="R73" s="167" t="s">
        <v>47</v>
      </c>
      <c r="S73" s="167">
        <v>-5</v>
      </c>
      <c r="T73" s="164" t="s">
        <v>429</v>
      </c>
      <c r="U73" s="167" t="s">
        <v>62</v>
      </c>
      <c r="V73" s="167" t="s">
        <v>139</v>
      </c>
      <c r="W73" s="167">
        <v>800</v>
      </c>
      <c r="X73" s="168" t="s">
        <v>430</v>
      </c>
      <c r="Y73" s="230" t="s">
        <v>117</v>
      </c>
      <c r="Z73" s="167" t="s">
        <v>434</v>
      </c>
      <c r="AA73" s="216">
        <f t="shared" ref="AA73:AA80" si="2">157/(582+157)</f>
        <v>0.21244925575101489</v>
      </c>
      <c r="AB73" s="54">
        <f t="shared" ref="AB73:AB80" si="3">(157+582)/760</f>
        <v>0.97236842105263155</v>
      </c>
      <c r="AC73" s="54">
        <v>2.54</v>
      </c>
      <c r="AD73" s="196" t="s">
        <v>463</v>
      </c>
    </row>
    <row r="74" spans="1:30" ht="51" x14ac:dyDescent="0.2">
      <c r="A74" s="13" t="s">
        <v>508</v>
      </c>
      <c r="B74" s="234">
        <v>9.5497106481481477</v>
      </c>
      <c r="C74" s="52">
        <v>69</v>
      </c>
      <c r="D74" s="52" t="s">
        <v>438</v>
      </c>
      <c r="E74" s="34">
        <v>36</v>
      </c>
      <c r="F74" s="269" t="s">
        <v>431</v>
      </c>
      <c r="G74" s="233" t="s">
        <v>190</v>
      </c>
      <c r="H74" s="35" t="s">
        <v>117</v>
      </c>
      <c r="I74" s="37" t="s">
        <v>445</v>
      </c>
      <c r="J74" s="38" t="s">
        <v>436</v>
      </c>
      <c r="K74" s="53" t="s">
        <v>443</v>
      </c>
      <c r="L74" s="37" t="s">
        <v>432</v>
      </c>
      <c r="M74" s="53"/>
      <c r="N74" s="53">
        <v>8</v>
      </c>
      <c r="O74" s="167" t="s">
        <v>62</v>
      </c>
      <c r="P74" s="167" t="s">
        <v>45</v>
      </c>
      <c r="Q74" s="167" t="s">
        <v>46</v>
      </c>
      <c r="R74" s="167" t="s">
        <v>47</v>
      </c>
      <c r="S74" s="167">
        <v>-5</v>
      </c>
      <c r="T74" s="164" t="s">
        <v>429</v>
      </c>
      <c r="U74" s="167" t="s">
        <v>62</v>
      </c>
      <c r="V74" s="167" t="s">
        <v>139</v>
      </c>
      <c r="W74" s="167">
        <v>800</v>
      </c>
      <c r="X74" s="168" t="s">
        <v>430</v>
      </c>
      <c r="Y74" s="230" t="s">
        <v>117</v>
      </c>
      <c r="Z74" s="167" t="s">
        <v>437</v>
      </c>
      <c r="AA74" s="216">
        <f t="shared" si="2"/>
        <v>0.21244925575101489</v>
      </c>
      <c r="AB74" s="54">
        <f t="shared" si="3"/>
        <v>0.97236842105263155</v>
      </c>
      <c r="AC74" s="54">
        <v>2.54</v>
      </c>
      <c r="AD74" s="196" t="s">
        <v>440</v>
      </c>
    </row>
    <row r="75" spans="1:30" ht="76.5" x14ac:dyDescent="0.2">
      <c r="A75" s="13" t="s">
        <v>508</v>
      </c>
      <c r="B75" s="234">
        <v>9.5498958333333324</v>
      </c>
      <c r="C75" s="52">
        <v>70</v>
      </c>
      <c r="D75" s="52" t="s">
        <v>441</v>
      </c>
      <c r="E75" s="34">
        <v>36</v>
      </c>
      <c r="F75" s="269" t="s">
        <v>431</v>
      </c>
      <c r="G75" s="233" t="s">
        <v>190</v>
      </c>
      <c r="H75" s="35" t="s">
        <v>117</v>
      </c>
      <c r="I75" s="37" t="s">
        <v>445</v>
      </c>
      <c r="J75" s="38" t="s">
        <v>446</v>
      </c>
      <c r="K75" s="53" t="s">
        <v>444</v>
      </c>
      <c r="L75" s="37" t="s">
        <v>432</v>
      </c>
      <c r="M75" s="53"/>
      <c r="N75" s="53">
        <v>8</v>
      </c>
      <c r="O75" s="167" t="s">
        <v>62</v>
      </c>
      <c r="P75" s="167" t="s">
        <v>45</v>
      </c>
      <c r="Q75" s="167" t="s">
        <v>46</v>
      </c>
      <c r="R75" s="167" t="s">
        <v>47</v>
      </c>
      <c r="S75" s="167">
        <v>-5</v>
      </c>
      <c r="T75" s="164" t="s">
        <v>429</v>
      </c>
      <c r="U75" s="167" t="s">
        <v>62</v>
      </c>
      <c r="V75" s="167" t="s">
        <v>139</v>
      </c>
      <c r="W75" s="167">
        <v>800</v>
      </c>
      <c r="X75" s="168" t="s">
        <v>430</v>
      </c>
      <c r="Y75" s="230" t="s">
        <v>117</v>
      </c>
      <c r="Z75" s="167" t="s">
        <v>442</v>
      </c>
      <c r="AA75" s="216">
        <f t="shared" si="2"/>
        <v>0.21244925575101489</v>
      </c>
      <c r="AB75" s="54">
        <f t="shared" si="3"/>
        <v>0.97236842105263155</v>
      </c>
      <c r="AC75" s="54">
        <v>2.54</v>
      </c>
      <c r="AD75" s="196" t="s">
        <v>447</v>
      </c>
    </row>
    <row r="76" spans="1:30" ht="76.5" x14ac:dyDescent="0.2">
      <c r="A76" s="13" t="s">
        <v>508</v>
      </c>
      <c r="B76" s="234">
        <v>9.5506481481481487</v>
      </c>
      <c r="C76" s="52">
        <v>71</v>
      </c>
      <c r="D76" s="52" t="s">
        <v>453</v>
      </c>
      <c r="E76" s="34">
        <v>37</v>
      </c>
      <c r="F76" s="269" t="s">
        <v>431</v>
      </c>
      <c r="G76" s="233" t="s">
        <v>190</v>
      </c>
      <c r="H76" s="35" t="s">
        <v>117</v>
      </c>
      <c r="I76" s="37" t="s">
        <v>445</v>
      </c>
      <c r="J76" s="38" t="s">
        <v>449</v>
      </c>
      <c r="K76" s="53" t="s">
        <v>443</v>
      </c>
      <c r="L76" s="37" t="s">
        <v>432</v>
      </c>
      <c r="M76" s="53" t="s">
        <v>450</v>
      </c>
      <c r="N76" s="53">
        <v>8</v>
      </c>
      <c r="O76" s="167" t="s">
        <v>62</v>
      </c>
      <c r="P76" s="167" t="s">
        <v>45</v>
      </c>
      <c r="Q76" s="167" t="s">
        <v>46</v>
      </c>
      <c r="R76" s="167" t="s">
        <v>428</v>
      </c>
      <c r="S76" s="167">
        <v>-5</v>
      </c>
      <c r="T76" s="164" t="s">
        <v>429</v>
      </c>
      <c r="U76" s="167" t="s">
        <v>62</v>
      </c>
      <c r="V76" s="167" t="s">
        <v>139</v>
      </c>
      <c r="W76" s="167">
        <v>800</v>
      </c>
      <c r="X76" s="168" t="s">
        <v>430</v>
      </c>
      <c r="Y76" s="230" t="s">
        <v>414</v>
      </c>
      <c r="Z76" s="167" t="s">
        <v>448</v>
      </c>
      <c r="AA76" s="216">
        <f t="shared" si="2"/>
        <v>0.21244925575101489</v>
      </c>
      <c r="AB76" s="54">
        <f t="shared" si="3"/>
        <v>0.97236842105263155</v>
      </c>
      <c r="AC76" s="54">
        <v>2.54</v>
      </c>
      <c r="AD76" s="196" t="s">
        <v>458</v>
      </c>
    </row>
    <row r="77" spans="1:30" ht="51" x14ac:dyDescent="0.2">
      <c r="A77" s="13" t="s">
        <v>508</v>
      </c>
      <c r="B77" s="15" t="s">
        <v>462</v>
      </c>
      <c r="C77" s="233" t="s">
        <v>451</v>
      </c>
      <c r="D77" s="233" t="s">
        <v>452</v>
      </c>
      <c r="E77" s="35" t="s">
        <v>454</v>
      </c>
      <c r="F77" s="269" t="s">
        <v>431</v>
      </c>
      <c r="G77" s="233" t="s">
        <v>190</v>
      </c>
      <c r="H77" s="35" t="s">
        <v>117</v>
      </c>
      <c r="I77" s="37" t="s">
        <v>445</v>
      </c>
      <c r="J77" s="37" t="s">
        <v>460</v>
      </c>
      <c r="K77" s="235" t="s">
        <v>443</v>
      </c>
      <c r="L77" s="37" t="s">
        <v>432</v>
      </c>
      <c r="M77" s="235"/>
      <c r="N77" s="235" t="s">
        <v>455</v>
      </c>
      <c r="O77" s="236" t="s">
        <v>62</v>
      </c>
      <c r="P77" s="236" t="s">
        <v>45</v>
      </c>
      <c r="Q77" s="236" t="s">
        <v>46</v>
      </c>
      <c r="R77" s="236" t="s">
        <v>47</v>
      </c>
      <c r="S77" s="236" t="s">
        <v>456</v>
      </c>
      <c r="T77" s="230" t="s">
        <v>429</v>
      </c>
      <c r="U77" s="236" t="s">
        <v>62</v>
      </c>
      <c r="V77" s="236" t="s">
        <v>139</v>
      </c>
      <c r="W77" s="236" t="s">
        <v>457</v>
      </c>
      <c r="X77" s="237" t="s">
        <v>430</v>
      </c>
      <c r="Y77" s="230" t="s">
        <v>414</v>
      </c>
      <c r="Z77" s="167" t="s">
        <v>459</v>
      </c>
      <c r="AA77" s="216">
        <f t="shared" si="2"/>
        <v>0.21244925575101489</v>
      </c>
      <c r="AB77" s="54">
        <f t="shared" si="3"/>
        <v>0.97236842105263155</v>
      </c>
      <c r="AC77" s="54">
        <v>2.54</v>
      </c>
      <c r="AD77" s="196" t="s">
        <v>461</v>
      </c>
    </row>
    <row r="78" spans="1:30" ht="51" x14ac:dyDescent="0.2">
      <c r="A78" s="13" t="s">
        <v>508</v>
      </c>
      <c r="B78" s="15" t="s">
        <v>473</v>
      </c>
      <c r="C78" s="233" t="s">
        <v>339</v>
      </c>
      <c r="D78" s="233" t="s">
        <v>464</v>
      </c>
      <c r="E78" s="35" t="s">
        <v>236</v>
      </c>
      <c r="F78" s="269" t="s">
        <v>431</v>
      </c>
      <c r="G78" s="233" t="s">
        <v>190</v>
      </c>
      <c r="H78" s="35" t="s">
        <v>117</v>
      </c>
      <c r="I78" s="37" t="s">
        <v>445</v>
      </c>
      <c r="J78" s="37" t="s">
        <v>467</v>
      </c>
      <c r="K78" s="235" t="s">
        <v>443</v>
      </c>
      <c r="L78" s="37" t="s">
        <v>432</v>
      </c>
      <c r="M78" s="235"/>
      <c r="N78" s="235" t="s">
        <v>455</v>
      </c>
      <c r="O78" s="236" t="s">
        <v>62</v>
      </c>
      <c r="P78" s="236" t="s">
        <v>45</v>
      </c>
      <c r="Q78" s="236" t="s">
        <v>46</v>
      </c>
      <c r="R78" s="236" t="s">
        <v>47</v>
      </c>
      <c r="S78" s="236" t="s">
        <v>456</v>
      </c>
      <c r="T78" s="230" t="s">
        <v>429</v>
      </c>
      <c r="U78" s="236" t="s">
        <v>62</v>
      </c>
      <c r="V78" s="236" t="s">
        <v>139</v>
      </c>
      <c r="W78" s="236" t="s">
        <v>457</v>
      </c>
      <c r="X78" s="237" t="s">
        <v>430</v>
      </c>
      <c r="Y78" s="230" t="s">
        <v>414</v>
      </c>
      <c r="Z78" s="167" t="s">
        <v>466</v>
      </c>
      <c r="AA78" s="216">
        <f t="shared" si="2"/>
        <v>0.21244925575101489</v>
      </c>
      <c r="AB78" s="54">
        <f t="shared" si="3"/>
        <v>0.97236842105263155</v>
      </c>
      <c r="AC78" s="54">
        <v>2.54</v>
      </c>
      <c r="AD78" s="196" t="s">
        <v>468</v>
      </c>
    </row>
    <row r="79" spans="1:30" ht="51" x14ac:dyDescent="0.2">
      <c r="A79" s="13" t="s">
        <v>508</v>
      </c>
      <c r="B79" s="15" t="s">
        <v>469</v>
      </c>
      <c r="C79" s="233" t="s">
        <v>271</v>
      </c>
      <c r="D79" s="233" t="s">
        <v>465</v>
      </c>
      <c r="E79" s="35" t="s">
        <v>236</v>
      </c>
      <c r="F79" s="269" t="s">
        <v>431</v>
      </c>
      <c r="G79" s="233" t="s">
        <v>190</v>
      </c>
      <c r="H79" s="35" t="s">
        <v>117</v>
      </c>
      <c r="I79" s="37" t="s">
        <v>445</v>
      </c>
      <c r="J79" s="37" t="s">
        <v>472</v>
      </c>
      <c r="K79" s="235" t="s">
        <v>443</v>
      </c>
      <c r="L79" s="37" t="s">
        <v>432</v>
      </c>
      <c r="M79" s="235"/>
      <c r="N79" s="235" t="s">
        <v>141</v>
      </c>
      <c r="O79" s="236" t="s">
        <v>471</v>
      </c>
      <c r="P79" s="236" t="s">
        <v>45</v>
      </c>
      <c r="Q79" s="236" t="s">
        <v>46</v>
      </c>
      <c r="R79" s="236" t="s">
        <v>47</v>
      </c>
      <c r="S79" s="236" t="s">
        <v>456</v>
      </c>
      <c r="T79" s="230" t="s">
        <v>429</v>
      </c>
      <c r="U79" s="236" t="s">
        <v>62</v>
      </c>
      <c r="V79" s="236" t="s">
        <v>139</v>
      </c>
      <c r="W79" s="236" t="s">
        <v>457</v>
      </c>
      <c r="X79" s="237" t="s">
        <v>430</v>
      </c>
      <c r="Y79" s="230" t="s">
        <v>414</v>
      </c>
      <c r="Z79" s="167" t="s">
        <v>470</v>
      </c>
      <c r="AA79" s="216">
        <f t="shared" si="2"/>
        <v>0.21244925575101489</v>
      </c>
      <c r="AB79" s="54">
        <f t="shared" si="3"/>
        <v>0.97236842105263155</v>
      </c>
      <c r="AC79" s="54">
        <v>2.54</v>
      </c>
      <c r="AD79" s="196" t="s">
        <v>474</v>
      </c>
    </row>
    <row r="80" spans="1:30" ht="51.75" thickBot="1" x14ac:dyDescent="0.25">
      <c r="A80" s="118" t="s">
        <v>508</v>
      </c>
      <c r="B80" s="118" t="s">
        <v>481</v>
      </c>
      <c r="C80" s="238" t="s">
        <v>130</v>
      </c>
      <c r="D80" s="238" t="s">
        <v>476</v>
      </c>
      <c r="E80" s="122" t="s">
        <v>236</v>
      </c>
      <c r="F80" s="270" t="s">
        <v>431</v>
      </c>
      <c r="G80" s="238" t="s">
        <v>190</v>
      </c>
      <c r="H80" s="122" t="s">
        <v>117</v>
      </c>
      <c r="I80" s="124" t="s">
        <v>445</v>
      </c>
      <c r="J80" s="124" t="s">
        <v>479</v>
      </c>
      <c r="K80" s="239" t="s">
        <v>480</v>
      </c>
      <c r="L80" s="124" t="s">
        <v>432</v>
      </c>
      <c r="M80" s="239"/>
      <c r="N80" s="239" t="s">
        <v>141</v>
      </c>
      <c r="O80" s="240" t="s">
        <v>62</v>
      </c>
      <c r="P80" s="240" t="s">
        <v>45</v>
      </c>
      <c r="Q80" s="240" t="s">
        <v>46</v>
      </c>
      <c r="R80" s="240" t="s">
        <v>47</v>
      </c>
      <c r="S80" s="240" t="s">
        <v>456</v>
      </c>
      <c r="T80" s="232" t="s">
        <v>429</v>
      </c>
      <c r="U80" s="240" t="s">
        <v>62</v>
      </c>
      <c r="V80" s="240" t="s">
        <v>139</v>
      </c>
      <c r="W80" s="240" t="s">
        <v>457</v>
      </c>
      <c r="X80" s="241" t="s">
        <v>430</v>
      </c>
      <c r="Y80" s="232" t="s">
        <v>475</v>
      </c>
      <c r="Z80" s="184" t="s">
        <v>477</v>
      </c>
      <c r="AA80" s="217">
        <f t="shared" si="2"/>
        <v>0.21244925575101489</v>
      </c>
      <c r="AB80" s="127">
        <f t="shared" si="3"/>
        <v>0.97236842105263155</v>
      </c>
      <c r="AC80" s="127">
        <v>2.54</v>
      </c>
      <c r="AD80" s="201" t="s">
        <v>478</v>
      </c>
    </row>
    <row r="81" spans="1:30" ht="88.5" customHeight="1" x14ac:dyDescent="0.2">
      <c r="A81" s="99">
        <v>41142</v>
      </c>
      <c r="B81" s="15" t="s">
        <v>487</v>
      </c>
      <c r="C81" s="233" t="s">
        <v>366</v>
      </c>
      <c r="D81" s="233" t="s">
        <v>483</v>
      </c>
      <c r="E81" s="35" t="s">
        <v>484</v>
      </c>
      <c r="F81" s="271" t="s">
        <v>275</v>
      </c>
      <c r="G81" s="233" t="s">
        <v>189</v>
      </c>
      <c r="H81" s="35" t="s">
        <v>117</v>
      </c>
      <c r="I81" s="11" t="s">
        <v>276</v>
      </c>
      <c r="J81" s="23" t="s">
        <v>490</v>
      </c>
      <c r="K81" s="4" t="s">
        <v>491</v>
      </c>
      <c r="L81" s="4">
        <v>250</v>
      </c>
      <c r="M81" s="24"/>
      <c r="N81" s="4">
        <v>8</v>
      </c>
      <c r="O81" s="4" t="s">
        <v>62</v>
      </c>
      <c r="P81" s="142" t="s">
        <v>45</v>
      </c>
      <c r="Q81" s="142" t="s">
        <v>84</v>
      </c>
      <c r="R81" s="142" t="s">
        <v>47</v>
      </c>
      <c r="S81" s="142">
        <v>-5</v>
      </c>
      <c r="T81" s="142" t="s">
        <v>62</v>
      </c>
      <c r="U81" s="143">
        <v>1</v>
      </c>
      <c r="V81" s="142" t="s">
        <v>139</v>
      </c>
      <c r="W81" s="142">
        <v>1000</v>
      </c>
      <c r="X81" s="142" t="s">
        <v>98</v>
      </c>
      <c r="Y81" s="230" t="s">
        <v>482</v>
      </c>
      <c r="Z81" s="167" t="s">
        <v>486</v>
      </c>
      <c r="AA81" s="216">
        <f>162.14/739.22</f>
        <v>0.21933930359027079</v>
      </c>
      <c r="AB81" s="54">
        <f>739.22/760</f>
        <v>0.97265789473684217</v>
      </c>
      <c r="AC81" s="54">
        <v>1.98</v>
      </c>
      <c r="AD81" s="196" t="s">
        <v>492</v>
      </c>
    </row>
    <row r="82" spans="1:30" ht="63.75" x14ac:dyDescent="0.2">
      <c r="A82" s="100">
        <v>41142</v>
      </c>
      <c r="B82" s="15" t="s">
        <v>495</v>
      </c>
      <c r="C82" s="233" t="s">
        <v>488</v>
      </c>
      <c r="D82" s="233" t="s">
        <v>489</v>
      </c>
      <c r="E82" s="35" t="s">
        <v>484</v>
      </c>
      <c r="F82" s="271" t="s">
        <v>275</v>
      </c>
      <c r="G82" s="233" t="s">
        <v>190</v>
      </c>
      <c r="H82" s="35" t="s">
        <v>117</v>
      </c>
      <c r="I82" s="37" t="s">
        <v>276</v>
      </c>
      <c r="J82" s="235" t="s">
        <v>485</v>
      </c>
      <c r="K82" s="235" t="s">
        <v>493</v>
      </c>
      <c r="L82" s="37" t="s">
        <v>432</v>
      </c>
      <c r="M82" s="235"/>
      <c r="N82" s="235" t="s">
        <v>455</v>
      </c>
      <c r="O82" s="4" t="s">
        <v>62</v>
      </c>
      <c r="P82" s="142" t="s">
        <v>45</v>
      </c>
      <c r="Q82" s="142" t="s">
        <v>84</v>
      </c>
      <c r="R82" s="142" t="s">
        <v>47</v>
      </c>
      <c r="S82" s="142">
        <v>-5</v>
      </c>
      <c r="T82" s="142" t="s">
        <v>62</v>
      </c>
      <c r="U82" s="143">
        <v>1</v>
      </c>
      <c r="V82" s="142" t="s">
        <v>139</v>
      </c>
      <c r="W82" s="142">
        <v>1000</v>
      </c>
      <c r="X82" s="142" t="s">
        <v>98</v>
      </c>
      <c r="Y82" s="230" t="s">
        <v>455</v>
      </c>
      <c r="Z82" s="167">
        <v>294</v>
      </c>
      <c r="AA82" s="216">
        <f>162.14/739.22</f>
        <v>0.21933930359027079</v>
      </c>
      <c r="AB82" s="54">
        <f>739.22/760</f>
        <v>0.97265789473684217</v>
      </c>
      <c r="AC82" s="54">
        <v>1.98</v>
      </c>
      <c r="AD82" s="196" t="s">
        <v>494</v>
      </c>
    </row>
    <row r="83" spans="1:30" ht="63.75" x14ac:dyDescent="0.2">
      <c r="A83" s="100">
        <v>41142</v>
      </c>
      <c r="B83" s="15" t="s">
        <v>500</v>
      </c>
      <c r="C83" s="233" t="s">
        <v>178</v>
      </c>
      <c r="D83" s="233" t="s">
        <v>271</v>
      </c>
      <c r="E83" s="35" t="s">
        <v>290</v>
      </c>
      <c r="F83" s="272" t="s">
        <v>496</v>
      </c>
      <c r="G83" s="233" t="s">
        <v>190</v>
      </c>
      <c r="H83" s="35" t="s">
        <v>117</v>
      </c>
      <c r="I83" s="37" t="s">
        <v>276</v>
      </c>
      <c r="J83" s="235" t="s">
        <v>497</v>
      </c>
      <c r="K83" s="235" t="s">
        <v>498</v>
      </c>
      <c r="L83" s="37" t="s">
        <v>432</v>
      </c>
      <c r="M83" s="235"/>
      <c r="N83" s="235" t="s">
        <v>455</v>
      </c>
      <c r="O83" s="236" t="s">
        <v>62</v>
      </c>
      <c r="P83" s="142" t="s">
        <v>45</v>
      </c>
      <c r="Q83" s="142" t="s">
        <v>84</v>
      </c>
      <c r="R83" s="142" t="s">
        <v>47</v>
      </c>
      <c r="S83" s="142">
        <v>-5</v>
      </c>
      <c r="T83" s="142" t="s">
        <v>62</v>
      </c>
      <c r="U83" s="143">
        <v>1</v>
      </c>
      <c r="V83" s="142" t="s">
        <v>139</v>
      </c>
      <c r="W83" s="142">
        <v>1000</v>
      </c>
      <c r="X83" s="142" t="s">
        <v>98</v>
      </c>
      <c r="Y83" s="230" t="s">
        <v>493</v>
      </c>
      <c r="Z83" s="167">
        <v>249</v>
      </c>
      <c r="AA83" s="216">
        <f>162.14/739.22</f>
        <v>0.21933930359027079</v>
      </c>
      <c r="AB83" s="54">
        <f>739.22/760</f>
        <v>0.97265789473684217</v>
      </c>
      <c r="AC83" s="54">
        <v>1.98</v>
      </c>
      <c r="AD83" s="196" t="s">
        <v>499</v>
      </c>
    </row>
    <row r="84" spans="1:30" ht="68.25" customHeight="1" x14ac:dyDescent="0.2">
      <c r="A84" s="246">
        <v>41142</v>
      </c>
      <c r="B84" s="247" t="s">
        <v>504</v>
      </c>
      <c r="C84" s="248" t="s">
        <v>501</v>
      </c>
      <c r="D84" s="248" t="s">
        <v>130</v>
      </c>
      <c r="E84" s="249" t="s">
        <v>290</v>
      </c>
      <c r="F84" s="273" t="s">
        <v>502</v>
      </c>
      <c r="G84" s="248" t="s">
        <v>190</v>
      </c>
      <c r="H84" s="249" t="s">
        <v>117</v>
      </c>
      <c r="I84" s="250" t="s">
        <v>276</v>
      </c>
      <c r="J84" s="251" t="s">
        <v>503</v>
      </c>
      <c r="K84" s="251" t="s">
        <v>482</v>
      </c>
      <c r="L84" s="250" t="s">
        <v>432</v>
      </c>
      <c r="M84" s="251"/>
      <c r="N84" s="251" t="s">
        <v>455</v>
      </c>
      <c r="O84" s="252" t="s">
        <v>62</v>
      </c>
      <c r="P84" s="253" t="s">
        <v>45</v>
      </c>
      <c r="Q84" s="253" t="s">
        <v>84</v>
      </c>
      <c r="R84" s="253" t="s">
        <v>47</v>
      </c>
      <c r="S84" s="253">
        <v>-5</v>
      </c>
      <c r="T84" s="253" t="s">
        <v>62</v>
      </c>
      <c r="U84" s="254">
        <v>1</v>
      </c>
      <c r="V84" s="253" t="s">
        <v>139</v>
      </c>
      <c r="W84" s="253">
        <v>1000</v>
      </c>
      <c r="X84" s="253" t="s">
        <v>98</v>
      </c>
      <c r="Y84" s="255"/>
      <c r="Z84" s="253"/>
      <c r="AA84" s="256">
        <f>162.14/739.22</f>
        <v>0.21933930359027079</v>
      </c>
      <c r="AB84" s="257">
        <f>739.22/760</f>
        <v>0.97265789473684217</v>
      </c>
      <c r="AC84" s="257">
        <v>1.98</v>
      </c>
      <c r="AD84" s="258" t="s">
        <v>507</v>
      </c>
    </row>
    <row r="85" spans="1:30" ht="68.25" customHeight="1" x14ac:dyDescent="0.2">
      <c r="A85" s="274">
        <v>41145</v>
      </c>
      <c r="B85" s="275"/>
      <c r="C85" s="276" t="s">
        <v>516</v>
      </c>
      <c r="D85" s="276"/>
      <c r="E85" s="277"/>
      <c r="F85" s="278"/>
      <c r="G85" s="276"/>
      <c r="H85" s="277"/>
      <c r="I85" s="279"/>
      <c r="J85" s="280"/>
      <c r="K85" s="280"/>
      <c r="L85" s="279"/>
      <c r="M85" s="280"/>
      <c r="N85" s="280"/>
      <c r="O85" s="281"/>
      <c r="P85" s="282"/>
      <c r="Q85" s="282"/>
      <c r="R85" s="282"/>
      <c r="S85" s="282"/>
      <c r="T85" s="282" t="s">
        <v>62</v>
      </c>
      <c r="U85" s="283"/>
      <c r="V85" s="282"/>
      <c r="W85" s="282"/>
      <c r="X85" s="282"/>
      <c r="Y85" s="284"/>
      <c r="Z85" s="282"/>
      <c r="AA85" s="285"/>
      <c r="AB85" s="286"/>
      <c r="AC85" s="286"/>
      <c r="AD85" s="287"/>
    </row>
    <row r="86" spans="1:30" s="336" customFormat="1" ht="13.5" customHeight="1" x14ac:dyDescent="0.2">
      <c r="A86" s="337"/>
      <c r="B86" s="338"/>
      <c r="C86" s="338"/>
      <c r="D86" s="338"/>
      <c r="E86" s="339"/>
      <c r="F86" s="339"/>
      <c r="G86" s="338"/>
      <c r="H86" s="339"/>
      <c r="I86" s="339"/>
      <c r="J86" s="338"/>
      <c r="K86" s="338"/>
      <c r="L86" s="339"/>
      <c r="M86" s="338"/>
      <c r="N86" s="338"/>
      <c r="O86" s="338"/>
      <c r="P86" s="340"/>
      <c r="Q86" s="340"/>
      <c r="R86" s="340"/>
      <c r="S86" s="340"/>
      <c r="T86" s="340"/>
      <c r="U86" s="341"/>
      <c r="V86" s="340"/>
      <c r="W86" s="340"/>
      <c r="X86" s="340"/>
      <c r="Y86" s="339"/>
      <c r="Z86" s="340"/>
      <c r="AA86" s="342"/>
      <c r="AB86" s="340"/>
      <c r="AC86" s="340"/>
      <c r="AD86" s="343"/>
    </row>
    <row r="87" spans="1:30" ht="68.25" customHeight="1" x14ac:dyDescent="0.25">
      <c r="A87" s="324">
        <v>41368</v>
      </c>
      <c r="B87" s="15" t="s">
        <v>510</v>
      </c>
      <c r="C87" s="233" t="s">
        <v>511</v>
      </c>
      <c r="D87" s="233"/>
      <c r="E87" s="35"/>
      <c r="F87" s="35"/>
      <c r="G87" s="233" t="s">
        <v>512</v>
      </c>
      <c r="H87" s="35" t="s">
        <v>210</v>
      </c>
      <c r="I87" s="37" t="s">
        <v>62</v>
      </c>
      <c r="J87" s="235"/>
      <c r="K87" s="235"/>
      <c r="L87" s="37"/>
      <c r="M87" s="235"/>
      <c r="N87" s="235"/>
      <c r="O87" s="236"/>
      <c r="P87" s="167"/>
      <c r="Q87" s="167"/>
      <c r="R87" s="167"/>
      <c r="S87" s="167"/>
      <c r="T87" s="167" t="s">
        <v>526</v>
      </c>
      <c r="U87" s="164"/>
      <c r="V87" s="167"/>
      <c r="W87" s="167"/>
      <c r="X87" s="167"/>
      <c r="Y87" s="230" t="s">
        <v>509</v>
      </c>
      <c r="Z87" s="167"/>
      <c r="AA87" s="216">
        <v>0.216</v>
      </c>
      <c r="AB87" s="54">
        <v>0.97</v>
      </c>
      <c r="AC87" s="54">
        <v>3.2</v>
      </c>
      <c r="AD87" s="304" t="s">
        <v>513</v>
      </c>
    </row>
    <row r="88" spans="1:30" ht="68.25" customHeight="1" x14ac:dyDescent="0.25">
      <c r="A88" s="325">
        <v>41369</v>
      </c>
      <c r="B88" s="13" t="s">
        <v>514</v>
      </c>
      <c r="C88" s="9" t="s">
        <v>515</v>
      </c>
      <c r="D88" s="243"/>
      <c r="E88" s="9"/>
      <c r="F88" s="9"/>
      <c r="G88" s="243"/>
      <c r="H88" s="9"/>
      <c r="I88" s="23"/>
      <c r="J88" s="244"/>
      <c r="K88" s="244"/>
      <c r="L88" s="23"/>
      <c r="M88" s="244"/>
      <c r="N88" s="244"/>
      <c r="O88" s="245"/>
      <c r="P88" s="142"/>
      <c r="Q88" s="142"/>
      <c r="R88" s="142"/>
      <c r="S88" s="142"/>
      <c r="T88" s="142" t="s">
        <v>62</v>
      </c>
      <c r="U88" s="143"/>
      <c r="V88" s="142"/>
      <c r="W88" s="142"/>
      <c r="X88" s="142"/>
      <c r="Y88" s="215"/>
      <c r="Z88" s="142"/>
      <c r="AA88" s="225">
        <v>0.215</v>
      </c>
      <c r="AB88" s="5">
        <v>0.97</v>
      </c>
      <c r="AC88" s="5">
        <v>3.1</v>
      </c>
      <c r="AD88" s="303" t="s">
        <v>525</v>
      </c>
    </row>
    <row r="89" spans="1:30" ht="68.25" customHeight="1" x14ac:dyDescent="0.25">
      <c r="A89" s="325">
        <v>41369</v>
      </c>
      <c r="B89" s="13" t="s">
        <v>547</v>
      </c>
      <c r="C89" s="243" t="s">
        <v>518</v>
      </c>
      <c r="D89" s="243" t="s">
        <v>517</v>
      </c>
      <c r="E89" s="9" t="s">
        <v>519</v>
      </c>
      <c r="F89" s="9" t="s">
        <v>115</v>
      </c>
      <c r="G89" s="243" t="s">
        <v>520</v>
      </c>
      <c r="H89" s="9" t="s">
        <v>117</v>
      </c>
      <c r="I89" s="23" t="s">
        <v>117</v>
      </c>
      <c r="J89" s="244" t="s">
        <v>528</v>
      </c>
      <c r="K89" s="244" t="s">
        <v>532</v>
      </c>
      <c r="L89" s="23" t="s">
        <v>529</v>
      </c>
      <c r="M89" s="244" t="s">
        <v>41</v>
      </c>
      <c r="N89" s="244" t="s">
        <v>455</v>
      </c>
      <c r="O89" s="245"/>
      <c r="P89" s="142" t="s">
        <v>45</v>
      </c>
      <c r="Q89" s="142" t="s">
        <v>84</v>
      </c>
      <c r="R89" s="142" t="s">
        <v>47</v>
      </c>
      <c r="S89" s="142">
        <v>-5</v>
      </c>
      <c r="T89" s="142" t="s">
        <v>527</v>
      </c>
      <c r="U89" s="143">
        <v>1</v>
      </c>
      <c r="V89" s="142" t="s">
        <v>139</v>
      </c>
      <c r="W89" s="142">
        <v>1000</v>
      </c>
      <c r="X89" s="142" t="s">
        <v>98</v>
      </c>
      <c r="Y89" s="215" t="s">
        <v>523</v>
      </c>
      <c r="Z89" s="142">
        <v>98</v>
      </c>
      <c r="AA89" s="225">
        <v>0.17069999999999999</v>
      </c>
      <c r="AB89" s="5">
        <v>0.97</v>
      </c>
      <c r="AC89" s="5">
        <v>3.15</v>
      </c>
      <c r="AD89" s="303" t="s">
        <v>537</v>
      </c>
    </row>
    <row r="90" spans="1:30" ht="68.25" customHeight="1" x14ac:dyDescent="0.25">
      <c r="A90" s="326">
        <v>41369</v>
      </c>
      <c r="B90" s="55" t="s">
        <v>546</v>
      </c>
      <c r="C90" s="297" t="s">
        <v>531</v>
      </c>
      <c r="D90" s="248" t="s">
        <v>530</v>
      </c>
      <c r="E90" s="249" t="s">
        <v>519</v>
      </c>
      <c r="F90" s="249" t="s">
        <v>115</v>
      </c>
      <c r="G90" s="248" t="s">
        <v>520</v>
      </c>
      <c r="H90" s="249" t="s">
        <v>117</v>
      </c>
      <c r="I90" s="250" t="s">
        <v>117</v>
      </c>
      <c r="J90" s="251" t="s">
        <v>535</v>
      </c>
      <c r="K90" s="251" t="s">
        <v>532</v>
      </c>
      <c r="L90" s="250" t="s">
        <v>181</v>
      </c>
      <c r="M90" s="251" t="s">
        <v>533</v>
      </c>
      <c r="N90" s="251" t="s">
        <v>455</v>
      </c>
      <c r="O90" s="252" t="s">
        <v>62</v>
      </c>
      <c r="P90" s="253" t="s">
        <v>45</v>
      </c>
      <c r="Q90" s="253" t="s">
        <v>84</v>
      </c>
      <c r="R90" s="253" t="s">
        <v>47</v>
      </c>
      <c r="S90" s="253">
        <v>-5</v>
      </c>
      <c r="T90" s="253"/>
      <c r="U90" s="254">
        <v>1</v>
      </c>
      <c r="V90" s="253" t="s">
        <v>139</v>
      </c>
      <c r="W90" s="253">
        <v>1000</v>
      </c>
      <c r="X90" s="253" t="s">
        <v>87</v>
      </c>
      <c r="Y90" s="255" t="s">
        <v>523</v>
      </c>
      <c r="Z90" s="253" t="s">
        <v>534</v>
      </c>
      <c r="AA90" s="256">
        <v>0.17069999999999999</v>
      </c>
      <c r="AB90" s="257">
        <v>0.97</v>
      </c>
      <c r="AC90" s="257">
        <v>3.15</v>
      </c>
      <c r="AD90" s="303" t="s">
        <v>536</v>
      </c>
    </row>
    <row r="91" spans="1:30" ht="68.25" customHeight="1" x14ac:dyDescent="0.25">
      <c r="A91" s="327">
        <v>41373</v>
      </c>
      <c r="B91" s="298" t="s">
        <v>545</v>
      </c>
      <c r="C91" s="299" t="s">
        <v>538</v>
      </c>
      <c r="D91" s="294" t="s">
        <v>541</v>
      </c>
      <c r="E91" s="35" t="s">
        <v>539</v>
      </c>
      <c r="F91" s="35" t="s">
        <v>115</v>
      </c>
      <c r="G91" s="233" t="s">
        <v>540</v>
      </c>
      <c r="H91" s="35" t="s">
        <v>117</v>
      </c>
      <c r="I91" s="37" t="s">
        <v>140</v>
      </c>
      <c r="J91" s="235" t="s">
        <v>549</v>
      </c>
      <c r="K91" s="235" t="s">
        <v>551</v>
      </c>
      <c r="L91" s="37" t="s">
        <v>181</v>
      </c>
      <c r="M91" s="235"/>
      <c r="N91" s="235" t="s">
        <v>542</v>
      </c>
      <c r="O91" s="236" t="s">
        <v>62</v>
      </c>
      <c r="P91" s="167" t="s">
        <v>45</v>
      </c>
      <c r="Q91" s="167" t="s">
        <v>84</v>
      </c>
      <c r="R91" s="167" t="s">
        <v>47</v>
      </c>
      <c r="S91" s="167">
        <v>-5</v>
      </c>
      <c r="T91" s="167" t="s">
        <v>544</v>
      </c>
      <c r="U91" s="164">
        <v>1</v>
      </c>
      <c r="V91" s="167" t="s">
        <v>139</v>
      </c>
      <c r="W91" s="167">
        <v>1000</v>
      </c>
      <c r="X91" s="167" t="s">
        <v>87</v>
      </c>
      <c r="Y91" s="230" t="s">
        <v>509</v>
      </c>
      <c r="Z91" s="167" t="s">
        <v>543</v>
      </c>
      <c r="AA91" s="216">
        <v>0.21099999999999999</v>
      </c>
      <c r="AB91" s="54">
        <v>0.98199999999999998</v>
      </c>
      <c r="AC91" s="54">
        <v>2.9</v>
      </c>
      <c r="AD91" s="192" t="s">
        <v>552</v>
      </c>
    </row>
    <row r="92" spans="1:30" ht="68.25" customHeight="1" x14ac:dyDescent="0.25">
      <c r="A92" s="328">
        <v>41373</v>
      </c>
      <c r="B92" s="13" t="s">
        <v>553</v>
      </c>
      <c r="C92" s="300">
        <v>83</v>
      </c>
      <c r="D92" s="295">
        <v>115</v>
      </c>
      <c r="E92" s="3">
        <v>25</v>
      </c>
      <c r="F92" s="7" t="s">
        <v>548</v>
      </c>
      <c r="G92" s="9" t="s">
        <v>554</v>
      </c>
      <c r="H92" s="3">
        <v>2</v>
      </c>
      <c r="I92" s="24" t="s">
        <v>140</v>
      </c>
      <c r="J92" s="23" t="s">
        <v>555</v>
      </c>
      <c r="K92" s="4" t="s">
        <v>556</v>
      </c>
      <c r="L92" s="4">
        <v>50</v>
      </c>
      <c r="M92" s="24" t="s">
        <v>550</v>
      </c>
      <c r="N92" s="4">
        <v>10</v>
      </c>
      <c r="O92" s="245" t="s">
        <v>62</v>
      </c>
      <c r="P92" s="142" t="s">
        <v>45</v>
      </c>
      <c r="Q92" s="142" t="s">
        <v>84</v>
      </c>
      <c r="R92" s="142" t="s">
        <v>47</v>
      </c>
      <c r="S92" s="142">
        <v>-5</v>
      </c>
      <c r="T92" s="142"/>
      <c r="U92" s="143">
        <v>1</v>
      </c>
      <c r="V92" s="142" t="s">
        <v>139</v>
      </c>
      <c r="W92" s="142">
        <v>1000</v>
      </c>
      <c r="X92" s="142" t="s">
        <v>87</v>
      </c>
      <c r="Y92" s="215" t="s">
        <v>455</v>
      </c>
      <c r="Z92" s="142">
        <v>139</v>
      </c>
      <c r="AA92" s="225">
        <v>0.21099999999999999</v>
      </c>
      <c r="AB92" s="5">
        <v>0.98199999999999998</v>
      </c>
      <c r="AC92" s="5">
        <v>2.9</v>
      </c>
      <c r="AD92" s="192" t="s">
        <v>557</v>
      </c>
    </row>
    <row r="93" spans="1:30" ht="68.25" customHeight="1" x14ac:dyDescent="0.25">
      <c r="A93" s="328">
        <v>41373</v>
      </c>
      <c r="B93" s="13" t="s">
        <v>558</v>
      </c>
      <c r="C93" s="300">
        <v>84</v>
      </c>
      <c r="D93" s="295">
        <v>116</v>
      </c>
      <c r="E93" s="3">
        <v>25</v>
      </c>
      <c r="F93" s="7" t="s">
        <v>548</v>
      </c>
      <c r="G93" s="9" t="s">
        <v>554</v>
      </c>
      <c r="H93" s="3">
        <v>2</v>
      </c>
      <c r="I93" s="24" t="s">
        <v>140</v>
      </c>
      <c r="J93" s="23" t="s">
        <v>559</v>
      </c>
      <c r="K93" s="4" t="s">
        <v>560</v>
      </c>
      <c r="L93" s="4">
        <v>50</v>
      </c>
      <c r="M93" s="24" t="s">
        <v>561</v>
      </c>
      <c r="N93" s="4">
        <v>10</v>
      </c>
      <c r="O93" s="245" t="s">
        <v>62</v>
      </c>
      <c r="P93" s="142" t="s">
        <v>45</v>
      </c>
      <c r="Q93" s="142" t="s">
        <v>84</v>
      </c>
      <c r="R93" s="142" t="s">
        <v>47</v>
      </c>
      <c r="S93" s="142">
        <v>-5</v>
      </c>
      <c r="T93" s="142"/>
      <c r="U93" s="143">
        <v>1</v>
      </c>
      <c r="V93" s="142" t="s">
        <v>139</v>
      </c>
      <c r="W93" s="142">
        <v>1000</v>
      </c>
      <c r="X93" s="142" t="s">
        <v>87</v>
      </c>
      <c r="Y93" s="215" t="s">
        <v>455</v>
      </c>
      <c r="Z93" s="142" t="s">
        <v>534</v>
      </c>
      <c r="AA93" s="225">
        <v>0.21099999999999999</v>
      </c>
      <c r="AB93" s="5">
        <v>0.98199999999999998</v>
      </c>
      <c r="AC93" s="5">
        <v>2.9</v>
      </c>
      <c r="AD93" s="192" t="s">
        <v>562</v>
      </c>
    </row>
    <row r="94" spans="1:30" ht="68.25" customHeight="1" x14ac:dyDescent="0.25">
      <c r="A94" s="329">
        <v>41373</v>
      </c>
      <c r="B94" s="301" t="s">
        <v>563</v>
      </c>
      <c r="C94" s="302">
        <v>85</v>
      </c>
      <c r="D94" s="296">
        <v>117</v>
      </c>
      <c r="E94" s="288">
        <v>25</v>
      </c>
      <c r="F94" s="289" t="s">
        <v>548</v>
      </c>
      <c r="G94" s="249" t="s">
        <v>554</v>
      </c>
      <c r="H94" s="288">
        <v>2</v>
      </c>
      <c r="I94" s="290" t="s">
        <v>140</v>
      </c>
      <c r="J94" s="250" t="s">
        <v>564</v>
      </c>
      <c r="K94" s="291" t="s">
        <v>565</v>
      </c>
      <c r="L94" s="291">
        <v>50</v>
      </c>
      <c r="M94" s="290"/>
      <c r="N94" s="291">
        <v>10</v>
      </c>
      <c r="O94" s="252" t="s">
        <v>62</v>
      </c>
      <c r="P94" s="293" t="s">
        <v>45</v>
      </c>
      <c r="Q94" s="292" t="s">
        <v>84</v>
      </c>
      <c r="R94" s="253" t="s">
        <v>47</v>
      </c>
      <c r="S94" s="253">
        <v>-5</v>
      </c>
      <c r="T94" s="253"/>
      <c r="U94" s="254">
        <v>1</v>
      </c>
      <c r="V94" s="253" t="s">
        <v>139</v>
      </c>
      <c r="W94" s="253">
        <v>1000</v>
      </c>
      <c r="X94" s="253" t="s">
        <v>87</v>
      </c>
      <c r="Y94" s="255" t="s">
        <v>482</v>
      </c>
      <c r="Z94" s="253">
        <v>204</v>
      </c>
      <c r="AA94" s="256">
        <v>0.21099999999999999</v>
      </c>
      <c r="AB94" s="257">
        <v>0.98199999999999998</v>
      </c>
      <c r="AC94" s="257">
        <v>2.9</v>
      </c>
      <c r="AD94" s="258" t="s">
        <v>566</v>
      </c>
    </row>
    <row r="95" spans="1:30" ht="68.25" customHeight="1" x14ac:dyDescent="0.25">
      <c r="A95" s="329">
        <v>41373</v>
      </c>
      <c r="B95" s="301" t="s">
        <v>568</v>
      </c>
      <c r="C95" s="308">
        <v>85</v>
      </c>
      <c r="D95" s="296" t="s">
        <v>567</v>
      </c>
      <c r="E95" s="288">
        <v>25</v>
      </c>
      <c r="F95" s="289" t="s">
        <v>548</v>
      </c>
      <c r="G95" s="249" t="s">
        <v>554</v>
      </c>
      <c r="H95" s="288">
        <v>2</v>
      </c>
      <c r="I95" s="290" t="s">
        <v>140</v>
      </c>
      <c r="J95" s="250" t="s">
        <v>570</v>
      </c>
      <c r="K95" s="291" t="s">
        <v>571</v>
      </c>
      <c r="L95" s="291">
        <v>50</v>
      </c>
      <c r="M95" s="290"/>
      <c r="N95" s="291">
        <v>10</v>
      </c>
      <c r="O95" s="252" t="s">
        <v>62</v>
      </c>
      <c r="P95" s="293" t="s">
        <v>45</v>
      </c>
      <c r="Q95" s="292" t="s">
        <v>84</v>
      </c>
      <c r="R95" s="253" t="s">
        <v>47</v>
      </c>
      <c r="S95" s="253">
        <v>-5</v>
      </c>
      <c r="T95" s="253"/>
      <c r="U95" s="254">
        <v>1</v>
      </c>
      <c r="V95" s="253" t="s">
        <v>139</v>
      </c>
      <c r="W95" s="253">
        <v>1000</v>
      </c>
      <c r="X95" s="253" t="s">
        <v>87</v>
      </c>
      <c r="Y95" s="255" t="s">
        <v>482</v>
      </c>
      <c r="Z95" s="253" t="s">
        <v>569</v>
      </c>
      <c r="AA95" s="256">
        <v>0.21099999999999999</v>
      </c>
      <c r="AB95" s="257">
        <v>0.98199999999999998</v>
      </c>
      <c r="AC95" s="257">
        <v>2.9</v>
      </c>
      <c r="AD95" s="258" t="s">
        <v>572</v>
      </c>
    </row>
    <row r="96" spans="1:30" ht="68.25" customHeight="1" x14ac:dyDescent="0.25">
      <c r="A96" s="330">
        <v>41376</v>
      </c>
      <c r="B96" s="55" t="s">
        <v>573</v>
      </c>
      <c r="C96" s="3">
        <v>86</v>
      </c>
      <c r="D96" s="305">
        <v>100</v>
      </c>
      <c r="E96" s="57">
        <v>24</v>
      </c>
      <c r="F96" s="28" t="s">
        <v>548</v>
      </c>
      <c r="G96" s="29" t="s">
        <v>554</v>
      </c>
      <c r="H96" s="57">
        <v>2</v>
      </c>
      <c r="I96" s="31" t="s">
        <v>140</v>
      </c>
      <c r="J96" s="114" t="s">
        <v>575</v>
      </c>
      <c r="K96" s="58" t="s">
        <v>576</v>
      </c>
      <c r="L96" s="58">
        <v>50</v>
      </c>
      <c r="M96" s="31" t="s">
        <v>579</v>
      </c>
      <c r="N96" s="58">
        <v>10</v>
      </c>
      <c r="O96" s="306"/>
      <c r="P96" s="142" t="s">
        <v>45</v>
      </c>
      <c r="Q96" s="142" t="s">
        <v>84</v>
      </c>
      <c r="R96" s="172" t="s">
        <v>47</v>
      </c>
      <c r="S96" s="172">
        <v>-5</v>
      </c>
      <c r="T96" s="172"/>
      <c r="U96" s="173">
        <v>1</v>
      </c>
      <c r="V96" s="172" t="s">
        <v>139</v>
      </c>
      <c r="W96" s="172">
        <v>1000</v>
      </c>
      <c r="X96" s="172" t="s">
        <v>87</v>
      </c>
      <c r="Y96" s="307" t="s">
        <v>493</v>
      </c>
      <c r="Z96" s="172" t="s">
        <v>574</v>
      </c>
      <c r="AA96" s="223">
        <v>0.21110999999999999</v>
      </c>
      <c r="AB96" s="59">
        <v>0.98</v>
      </c>
      <c r="AC96" s="59">
        <v>2.2999999999999998</v>
      </c>
      <c r="AD96" s="197" t="s">
        <v>580</v>
      </c>
    </row>
    <row r="97" spans="1:30" ht="68.25" customHeight="1" x14ac:dyDescent="0.25">
      <c r="A97" s="330">
        <v>41376</v>
      </c>
      <c r="B97" s="55" t="s">
        <v>583</v>
      </c>
      <c r="C97" s="3">
        <v>87</v>
      </c>
      <c r="D97" s="305">
        <v>85</v>
      </c>
      <c r="E97" s="57">
        <v>43</v>
      </c>
      <c r="F97" s="28" t="s">
        <v>577</v>
      </c>
      <c r="G97" s="29" t="s">
        <v>554</v>
      </c>
      <c r="H97" s="57">
        <v>2</v>
      </c>
      <c r="I97" s="31" t="s">
        <v>140</v>
      </c>
      <c r="J97" s="114" t="s">
        <v>239</v>
      </c>
      <c r="K97" s="58">
        <v>3</v>
      </c>
      <c r="L97" s="58">
        <v>50</v>
      </c>
      <c r="M97" s="31" t="s">
        <v>582</v>
      </c>
      <c r="N97" s="58">
        <v>0</v>
      </c>
      <c r="O97" s="306"/>
      <c r="P97" s="142" t="s">
        <v>45</v>
      </c>
      <c r="Q97" s="142" t="s">
        <v>46</v>
      </c>
      <c r="R97" s="172" t="s">
        <v>47</v>
      </c>
      <c r="S97" s="172">
        <v>-5</v>
      </c>
      <c r="T97" s="172" t="s">
        <v>592</v>
      </c>
      <c r="U97" s="173" t="s">
        <v>581</v>
      </c>
      <c r="V97" s="172" t="s">
        <v>122</v>
      </c>
      <c r="W97" s="172">
        <v>1000</v>
      </c>
      <c r="X97" s="172" t="s">
        <v>578</v>
      </c>
      <c r="Y97" s="307" t="s">
        <v>414</v>
      </c>
      <c r="Z97" s="172" t="s">
        <v>589</v>
      </c>
      <c r="AA97" s="223">
        <v>0.21110999999999999</v>
      </c>
      <c r="AB97" s="59">
        <v>0.98</v>
      </c>
      <c r="AC97" s="59">
        <v>2.2999999999999998</v>
      </c>
      <c r="AD97" s="197" t="s">
        <v>584</v>
      </c>
    </row>
    <row r="98" spans="1:30" ht="68.25" customHeight="1" x14ac:dyDescent="0.25">
      <c r="A98" s="330">
        <v>41376</v>
      </c>
      <c r="B98" s="55" t="s">
        <v>587</v>
      </c>
      <c r="C98" s="3">
        <v>88</v>
      </c>
      <c r="D98" s="305">
        <v>93</v>
      </c>
      <c r="E98" s="57">
        <v>43</v>
      </c>
      <c r="F98" s="28" t="s">
        <v>577</v>
      </c>
      <c r="G98" s="29" t="s">
        <v>554</v>
      </c>
      <c r="H98" s="57">
        <v>2</v>
      </c>
      <c r="I98" s="31" t="s">
        <v>140</v>
      </c>
      <c r="J98" s="114" t="s">
        <v>585</v>
      </c>
      <c r="K98" s="58" t="s">
        <v>588</v>
      </c>
      <c r="L98" s="58">
        <v>50</v>
      </c>
      <c r="M98" s="31"/>
      <c r="N98" s="58">
        <v>0</v>
      </c>
      <c r="O98" s="306"/>
      <c r="P98" s="142" t="s">
        <v>45</v>
      </c>
      <c r="Q98" s="142" t="s">
        <v>46</v>
      </c>
      <c r="R98" s="172"/>
      <c r="S98" s="172">
        <v>-5</v>
      </c>
      <c r="T98" s="172" t="s">
        <v>591</v>
      </c>
      <c r="U98" s="173" t="s">
        <v>581</v>
      </c>
      <c r="V98" s="172" t="s">
        <v>122</v>
      </c>
      <c r="W98" s="172">
        <v>1000</v>
      </c>
      <c r="X98" s="172" t="s">
        <v>578</v>
      </c>
      <c r="Y98" s="307" t="s">
        <v>117</v>
      </c>
      <c r="Z98" s="172" t="s">
        <v>590</v>
      </c>
      <c r="AA98" s="223">
        <v>0.21129999999999999</v>
      </c>
      <c r="AB98" s="59">
        <v>0.98</v>
      </c>
      <c r="AC98" s="59">
        <v>2.2999999999999998</v>
      </c>
      <c r="AD98" s="197" t="s">
        <v>586</v>
      </c>
    </row>
    <row r="99" spans="1:30" ht="68.25" customHeight="1" x14ac:dyDescent="0.25">
      <c r="A99" s="331">
        <v>41380</v>
      </c>
      <c r="B99" s="310" t="s">
        <v>603</v>
      </c>
      <c r="C99" s="52">
        <v>89</v>
      </c>
      <c r="D99" s="311">
        <v>26</v>
      </c>
      <c r="E99" s="312">
        <v>17</v>
      </c>
      <c r="F99" s="46" t="s">
        <v>604</v>
      </c>
      <c r="G99" s="47" t="s">
        <v>554</v>
      </c>
      <c r="H99" s="312">
        <v>2</v>
      </c>
      <c r="I99" s="50" t="s">
        <v>140</v>
      </c>
      <c r="J99" s="48" t="s">
        <v>605</v>
      </c>
      <c r="K99" s="313"/>
      <c r="L99" s="313">
        <v>50</v>
      </c>
      <c r="M99" s="50" t="s">
        <v>606</v>
      </c>
      <c r="N99" s="313"/>
      <c r="O99" s="314" t="s">
        <v>62</v>
      </c>
      <c r="P99" s="167" t="s">
        <v>45</v>
      </c>
      <c r="Q99" s="167" t="s">
        <v>84</v>
      </c>
      <c r="R99" s="315" t="s">
        <v>47</v>
      </c>
      <c r="S99" s="315">
        <v>-5</v>
      </c>
      <c r="T99" s="315" t="s">
        <v>62</v>
      </c>
      <c r="U99" s="149">
        <v>1</v>
      </c>
      <c r="V99" s="315" t="s">
        <v>139</v>
      </c>
      <c r="W99" s="315">
        <v>1000</v>
      </c>
      <c r="X99" s="315" t="s">
        <v>87</v>
      </c>
      <c r="Y99" s="316" t="s">
        <v>475</v>
      </c>
      <c r="Z99" s="315">
        <v>182</v>
      </c>
      <c r="AA99" s="227">
        <v>0.17299999999999999</v>
      </c>
      <c r="AB99" s="103">
        <v>0.99</v>
      </c>
      <c r="AC99" s="103">
        <v>3.2</v>
      </c>
      <c r="AD99" s="197" t="s">
        <v>607</v>
      </c>
    </row>
    <row r="100" spans="1:30" ht="68.25" customHeight="1" x14ac:dyDescent="0.25">
      <c r="A100" s="330">
        <v>41380</v>
      </c>
      <c r="B100" s="55" t="s">
        <v>608</v>
      </c>
      <c r="C100" s="3">
        <v>90</v>
      </c>
      <c r="D100" s="305">
        <v>27</v>
      </c>
      <c r="E100" s="57">
        <v>17</v>
      </c>
      <c r="F100" s="28" t="s">
        <v>604</v>
      </c>
      <c r="G100" s="29" t="s">
        <v>554</v>
      </c>
      <c r="H100" s="57">
        <v>2</v>
      </c>
      <c r="I100" s="31" t="s">
        <v>140</v>
      </c>
      <c r="J100" s="114" t="s">
        <v>609</v>
      </c>
      <c r="K100" s="58"/>
      <c r="L100" s="58">
        <v>250</v>
      </c>
      <c r="M100" s="31" t="s">
        <v>610</v>
      </c>
      <c r="N100" s="58">
        <v>0</v>
      </c>
      <c r="O100" s="306"/>
      <c r="P100" s="142" t="s">
        <v>45</v>
      </c>
      <c r="Q100" s="142" t="s">
        <v>84</v>
      </c>
      <c r="R100" s="172" t="s">
        <v>47</v>
      </c>
      <c r="S100" s="172">
        <v>-5</v>
      </c>
      <c r="T100" s="172" t="s">
        <v>62</v>
      </c>
      <c r="U100" s="173">
        <v>1</v>
      </c>
      <c r="V100" s="172" t="s">
        <v>139</v>
      </c>
      <c r="W100" s="172">
        <v>1000</v>
      </c>
      <c r="X100" s="172" t="s">
        <v>87</v>
      </c>
      <c r="Y100" s="307" t="s">
        <v>455</v>
      </c>
      <c r="Z100" s="172">
        <v>86</v>
      </c>
      <c r="AA100" s="223">
        <v>0.17100000000000001</v>
      </c>
      <c r="AB100" s="59">
        <v>0.99</v>
      </c>
      <c r="AC100" s="59">
        <v>3.2</v>
      </c>
      <c r="AD100" s="197" t="s">
        <v>611</v>
      </c>
    </row>
    <row r="101" spans="1:30" ht="68.25" customHeight="1" x14ac:dyDescent="0.25">
      <c r="A101" s="330">
        <v>41380</v>
      </c>
      <c r="B101" s="55" t="s">
        <v>612</v>
      </c>
      <c r="C101" s="3">
        <v>91</v>
      </c>
      <c r="D101" s="305">
        <v>28</v>
      </c>
      <c r="E101" s="57">
        <v>17</v>
      </c>
      <c r="F101" s="28" t="s">
        <v>604</v>
      </c>
      <c r="G101" s="29" t="s">
        <v>613</v>
      </c>
      <c r="H101" s="57">
        <v>2</v>
      </c>
      <c r="I101" s="31" t="s">
        <v>140</v>
      </c>
      <c r="J101" s="114" t="s">
        <v>614</v>
      </c>
      <c r="K101" s="58"/>
      <c r="L101" s="58">
        <v>250</v>
      </c>
      <c r="M101" s="31"/>
      <c r="N101" s="58">
        <v>0</v>
      </c>
      <c r="O101" s="306"/>
      <c r="P101" s="142" t="s">
        <v>45</v>
      </c>
      <c r="Q101" s="142" t="s">
        <v>84</v>
      </c>
      <c r="R101" s="172" t="s">
        <v>47</v>
      </c>
      <c r="S101" s="172">
        <v>-5</v>
      </c>
      <c r="T101" s="172" t="s">
        <v>62</v>
      </c>
      <c r="U101" s="173">
        <v>1</v>
      </c>
      <c r="V101" s="172" t="s">
        <v>139</v>
      </c>
      <c r="W101" s="172">
        <v>1000</v>
      </c>
      <c r="X101" s="172" t="s">
        <v>87</v>
      </c>
      <c r="Y101" s="307" t="s">
        <v>455</v>
      </c>
      <c r="Z101" s="172" t="s">
        <v>615</v>
      </c>
      <c r="AA101" s="223">
        <v>0.17100000000000001</v>
      </c>
      <c r="AB101" s="59">
        <v>0.99</v>
      </c>
      <c r="AC101" s="59">
        <v>3.2</v>
      </c>
      <c r="AD101" s="197" t="s">
        <v>616</v>
      </c>
    </row>
    <row r="102" spans="1:30" ht="68.25" customHeight="1" x14ac:dyDescent="0.25">
      <c r="A102" s="330">
        <v>41387</v>
      </c>
      <c r="B102" s="309" t="s">
        <v>593</v>
      </c>
      <c r="C102" s="3">
        <v>89</v>
      </c>
      <c r="D102" s="305">
        <v>87</v>
      </c>
      <c r="E102" s="57">
        <v>40</v>
      </c>
      <c r="F102" s="28" t="s">
        <v>594</v>
      </c>
      <c r="G102" s="29" t="s">
        <v>554</v>
      </c>
      <c r="H102" s="57">
        <v>2</v>
      </c>
      <c r="I102" s="31"/>
      <c r="J102" s="114" t="s">
        <v>595</v>
      </c>
      <c r="K102" s="58" t="s">
        <v>596</v>
      </c>
      <c r="L102" s="58" t="s">
        <v>529</v>
      </c>
      <c r="M102" s="31" t="s">
        <v>599</v>
      </c>
      <c r="N102" s="58"/>
      <c r="O102" s="306"/>
      <c r="P102" s="142" t="s">
        <v>45</v>
      </c>
      <c r="Q102" s="142" t="s">
        <v>46</v>
      </c>
      <c r="R102" s="172" t="s">
        <v>47</v>
      </c>
      <c r="S102" s="172">
        <v>-5</v>
      </c>
      <c r="T102" s="172" t="s">
        <v>597</v>
      </c>
      <c r="U102" s="173" t="s">
        <v>581</v>
      </c>
      <c r="V102" s="172" t="s">
        <v>122</v>
      </c>
      <c r="W102" s="172">
        <v>1600</v>
      </c>
      <c r="X102" s="172" t="s">
        <v>330</v>
      </c>
      <c r="Y102" s="307" t="s">
        <v>509</v>
      </c>
      <c r="Z102" s="172">
        <v>117</v>
      </c>
      <c r="AA102" s="223">
        <v>0.159</v>
      </c>
      <c r="AB102" s="59">
        <v>0.97</v>
      </c>
      <c r="AC102" s="59"/>
      <c r="AD102" s="197" t="s">
        <v>674</v>
      </c>
    </row>
    <row r="103" spans="1:30" ht="68.25" customHeight="1" x14ac:dyDescent="0.25">
      <c r="A103" s="330">
        <v>41387</v>
      </c>
      <c r="B103" s="309" t="s">
        <v>598</v>
      </c>
      <c r="C103" s="3">
        <v>90</v>
      </c>
      <c r="D103" s="305">
        <v>103</v>
      </c>
      <c r="E103" s="57">
        <v>22</v>
      </c>
      <c r="F103" s="28" t="s">
        <v>204</v>
      </c>
      <c r="G103" s="29" t="s">
        <v>554</v>
      </c>
      <c r="H103" s="57">
        <v>2</v>
      </c>
      <c r="I103" s="31"/>
      <c r="J103" s="114" t="s">
        <v>76</v>
      </c>
      <c r="K103" s="58">
        <v>5</v>
      </c>
      <c r="L103" s="58">
        <v>50</v>
      </c>
      <c r="M103" s="31" t="s">
        <v>600</v>
      </c>
      <c r="N103" s="58"/>
      <c r="O103" s="306"/>
      <c r="P103" s="142" t="s">
        <v>45</v>
      </c>
      <c r="Q103" s="142" t="s">
        <v>84</v>
      </c>
      <c r="R103" s="172" t="s">
        <v>47</v>
      </c>
      <c r="S103" s="172">
        <v>-5</v>
      </c>
      <c r="T103" s="172"/>
      <c r="U103" s="173">
        <v>1</v>
      </c>
      <c r="V103" s="172" t="s">
        <v>139</v>
      </c>
      <c r="W103" s="172">
        <v>1000</v>
      </c>
      <c r="X103" s="172" t="s">
        <v>87</v>
      </c>
      <c r="Y103" s="307" t="s">
        <v>475</v>
      </c>
      <c r="Z103" s="172">
        <v>145</v>
      </c>
      <c r="AA103" s="223">
        <v>0.17530000000000001</v>
      </c>
      <c r="AB103" s="59">
        <v>0.97</v>
      </c>
      <c r="AC103" s="59"/>
      <c r="AD103" s="197" t="s">
        <v>601</v>
      </c>
    </row>
    <row r="104" spans="1:30" ht="68.25" customHeight="1" x14ac:dyDescent="0.25">
      <c r="A104" s="330">
        <v>41387</v>
      </c>
      <c r="B104" s="309" t="s">
        <v>602</v>
      </c>
      <c r="C104" s="3">
        <v>91</v>
      </c>
      <c r="D104" s="305">
        <v>104</v>
      </c>
      <c r="E104" s="57">
        <v>22</v>
      </c>
      <c r="F104" s="28" t="s">
        <v>204</v>
      </c>
      <c r="G104" s="29" t="s">
        <v>554</v>
      </c>
      <c r="H104" s="57">
        <v>2</v>
      </c>
      <c r="I104" s="31"/>
      <c r="J104" s="114" t="s">
        <v>619</v>
      </c>
      <c r="K104" s="58" t="s">
        <v>622</v>
      </c>
      <c r="L104" s="58">
        <v>50</v>
      </c>
      <c r="M104" s="31"/>
      <c r="N104" s="58" t="s">
        <v>141</v>
      </c>
      <c r="O104" s="306"/>
      <c r="P104" s="142" t="s">
        <v>45</v>
      </c>
      <c r="Q104" s="142" t="s">
        <v>84</v>
      </c>
      <c r="R104" s="172" t="s">
        <v>47</v>
      </c>
      <c r="S104" s="172">
        <v>-5</v>
      </c>
      <c r="T104" s="172"/>
      <c r="U104" s="173">
        <v>1</v>
      </c>
      <c r="V104" s="172" t="s">
        <v>139</v>
      </c>
      <c r="W104" s="172">
        <v>1000</v>
      </c>
      <c r="X104" s="172" t="s">
        <v>87</v>
      </c>
      <c r="Y104" s="307" t="s">
        <v>117</v>
      </c>
      <c r="Z104" s="172">
        <v>266</v>
      </c>
      <c r="AA104" s="223">
        <v>0.17530000000000001</v>
      </c>
      <c r="AB104" s="59">
        <v>0.97</v>
      </c>
      <c r="AC104" s="59"/>
      <c r="AD104" s="197" t="s">
        <v>617</v>
      </c>
    </row>
    <row r="105" spans="1:30" ht="68.25" customHeight="1" x14ac:dyDescent="0.25">
      <c r="A105" s="330">
        <v>41387</v>
      </c>
      <c r="B105" s="309" t="s">
        <v>618</v>
      </c>
      <c r="C105" s="3">
        <v>92</v>
      </c>
      <c r="D105" s="305">
        <v>105</v>
      </c>
      <c r="E105" s="57">
        <v>22</v>
      </c>
      <c r="F105" s="28" t="s">
        <v>204</v>
      </c>
      <c r="G105" s="29" t="s">
        <v>554</v>
      </c>
      <c r="H105" s="57">
        <v>2</v>
      </c>
      <c r="I105" s="31"/>
      <c r="J105" s="114" t="s">
        <v>621</v>
      </c>
      <c r="K105" s="58" t="s">
        <v>623</v>
      </c>
      <c r="L105" s="58">
        <v>50</v>
      </c>
      <c r="M105" s="31"/>
      <c r="N105" s="58"/>
      <c r="O105" s="306"/>
      <c r="P105" s="142" t="s">
        <v>45</v>
      </c>
      <c r="Q105" s="142" t="s">
        <v>84</v>
      </c>
      <c r="R105" s="172" t="s">
        <v>47</v>
      </c>
      <c r="S105" s="172">
        <v>-5</v>
      </c>
      <c r="T105" s="172"/>
      <c r="U105" s="173">
        <v>1</v>
      </c>
      <c r="V105" s="172" t="s">
        <v>139</v>
      </c>
      <c r="W105" s="172">
        <v>1000</v>
      </c>
      <c r="X105" s="172" t="s">
        <v>87</v>
      </c>
      <c r="Y105" s="307" t="s">
        <v>455</v>
      </c>
      <c r="Z105" s="172">
        <v>260</v>
      </c>
      <c r="AA105" s="223">
        <v>0.20499999999999999</v>
      </c>
      <c r="AB105" s="59">
        <v>0.97</v>
      </c>
      <c r="AC105" s="59"/>
      <c r="AD105" s="197" t="s">
        <v>620</v>
      </c>
    </row>
    <row r="106" spans="1:30" ht="68.25" customHeight="1" x14ac:dyDescent="0.25">
      <c r="A106" s="325">
        <v>41390</v>
      </c>
      <c r="B106" s="21" t="s">
        <v>628</v>
      </c>
      <c r="C106" s="3">
        <v>93</v>
      </c>
      <c r="D106" s="295">
        <v>38</v>
      </c>
      <c r="E106" s="57">
        <v>20</v>
      </c>
      <c r="F106" s="28" t="s">
        <v>624</v>
      </c>
      <c r="G106" s="29" t="s">
        <v>625</v>
      </c>
      <c r="H106" s="57">
        <v>2</v>
      </c>
      <c r="I106" s="31"/>
      <c r="J106" s="114" t="s">
        <v>626</v>
      </c>
      <c r="K106" s="58" t="s">
        <v>627</v>
      </c>
      <c r="L106" s="58">
        <v>250</v>
      </c>
      <c r="M106" s="31"/>
      <c r="N106" s="58"/>
      <c r="O106" s="306"/>
      <c r="P106" s="142" t="s">
        <v>45</v>
      </c>
      <c r="Q106" s="142" t="s">
        <v>84</v>
      </c>
      <c r="R106" s="172" t="s">
        <v>47</v>
      </c>
      <c r="S106" s="172">
        <v>-5</v>
      </c>
      <c r="T106" s="172"/>
      <c r="U106" s="173">
        <v>1</v>
      </c>
      <c r="V106" s="172" t="s">
        <v>139</v>
      </c>
      <c r="W106" s="172">
        <v>1000</v>
      </c>
      <c r="X106" s="172" t="s">
        <v>87</v>
      </c>
      <c r="Y106" s="307" t="s">
        <v>482</v>
      </c>
      <c r="Z106" s="172">
        <v>101</v>
      </c>
      <c r="AA106" s="223">
        <v>0.16669999999999999</v>
      </c>
      <c r="AB106" s="59">
        <v>0.97599999999999998</v>
      </c>
      <c r="AC106" s="59"/>
      <c r="AD106" s="197" t="s">
        <v>630</v>
      </c>
    </row>
    <row r="107" spans="1:30" ht="68.25" customHeight="1" x14ac:dyDescent="0.25">
      <c r="A107" s="330">
        <v>41390</v>
      </c>
      <c r="B107" s="309" t="s">
        <v>633</v>
      </c>
      <c r="C107" s="3">
        <v>94</v>
      </c>
      <c r="D107" s="305">
        <v>39</v>
      </c>
      <c r="E107" s="57">
        <v>20</v>
      </c>
      <c r="F107" s="28" t="s">
        <v>629</v>
      </c>
      <c r="G107" s="29" t="s">
        <v>625</v>
      </c>
      <c r="H107" s="57">
        <v>2</v>
      </c>
      <c r="I107" s="31"/>
      <c r="J107" s="114"/>
      <c r="K107" s="58"/>
      <c r="L107" s="58">
        <v>250</v>
      </c>
      <c r="M107" s="31"/>
      <c r="N107" s="58"/>
      <c r="O107" s="306"/>
      <c r="P107" s="142" t="s">
        <v>45</v>
      </c>
      <c r="Q107" s="142" t="s">
        <v>84</v>
      </c>
      <c r="R107" s="172" t="s">
        <v>47</v>
      </c>
      <c r="S107" s="172">
        <v>-5</v>
      </c>
      <c r="T107" s="172"/>
      <c r="U107" s="173">
        <v>1</v>
      </c>
      <c r="V107" s="172" t="s">
        <v>139</v>
      </c>
      <c r="W107" s="172">
        <v>1000</v>
      </c>
      <c r="X107" s="172" t="s">
        <v>87</v>
      </c>
      <c r="Y107" s="307" t="s">
        <v>482</v>
      </c>
      <c r="Z107" s="172" t="s">
        <v>631</v>
      </c>
      <c r="AA107" s="223">
        <v>0.16669999999999999</v>
      </c>
      <c r="AB107" s="59">
        <v>0.97599999999999998</v>
      </c>
      <c r="AC107" s="59">
        <v>2.8</v>
      </c>
      <c r="AD107" s="197" t="s">
        <v>632</v>
      </c>
    </row>
    <row r="108" spans="1:30" ht="68.25" customHeight="1" x14ac:dyDescent="0.25">
      <c r="A108" s="330">
        <v>41390</v>
      </c>
      <c r="B108" s="21" t="s">
        <v>634</v>
      </c>
      <c r="C108" s="3">
        <v>95</v>
      </c>
      <c r="D108" s="305">
        <v>40</v>
      </c>
      <c r="E108" s="57">
        <v>20</v>
      </c>
      <c r="F108" s="28" t="s">
        <v>629</v>
      </c>
      <c r="G108" s="29" t="s">
        <v>635</v>
      </c>
      <c r="H108" s="57">
        <v>2</v>
      </c>
      <c r="I108" s="31"/>
      <c r="J108" s="114" t="s">
        <v>636</v>
      </c>
      <c r="K108" s="58" t="s">
        <v>637</v>
      </c>
      <c r="L108" s="58">
        <v>250</v>
      </c>
      <c r="M108" s="31"/>
      <c r="N108" s="58">
        <v>8</v>
      </c>
      <c r="O108" s="306"/>
      <c r="P108" s="142" t="s">
        <v>45</v>
      </c>
      <c r="Q108" s="142" t="s">
        <v>84</v>
      </c>
      <c r="R108" s="172" t="s">
        <v>47</v>
      </c>
      <c r="S108" s="172">
        <v>-5</v>
      </c>
      <c r="T108" s="172"/>
      <c r="U108" s="173">
        <v>1</v>
      </c>
      <c r="V108" s="172" t="s">
        <v>139</v>
      </c>
      <c r="W108" s="172">
        <v>1000</v>
      </c>
      <c r="X108" s="172" t="s">
        <v>87</v>
      </c>
      <c r="Y108" s="307" t="s">
        <v>493</v>
      </c>
      <c r="Z108" s="172">
        <v>196</v>
      </c>
      <c r="AA108" s="223">
        <v>0.17799999999999999</v>
      </c>
      <c r="AB108" s="59">
        <v>0.97599999999999998</v>
      </c>
      <c r="AC108" s="59">
        <v>2.8</v>
      </c>
      <c r="AD108" s="197" t="s">
        <v>638</v>
      </c>
    </row>
    <row r="109" spans="1:30" ht="68.25" customHeight="1" x14ac:dyDescent="0.25">
      <c r="A109" s="325">
        <v>41390</v>
      </c>
      <c r="B109" s="21" t="s">
        <v>641</v>
      </c>
      <c r="C109" s="3">
        <v>96</v>
      </c>
      <c r="D109" s="3">
        <v>72</v>
      </c>
      <c r="E109" s="3">
        <v>34</v>
      </c>
      <c r="F109" s="7" t="s">
        <v>644</v>
      </c>
      <c r="G109" s="9" t="s">
        <v>647</v>
      </c>
      <c r="H109" s="3">
        <v>2</v>
      </c>
      <c r="I109" s="24" t="s">
        <v>640</v>
      </c>
      <c r="J109" s="23" t="s">
        <v>639</v>
      </c>
      <c r="K109" s="4">
        <v>9</v>
      </c>
      <c r="L109" s="4">
        <v>250</v>
      </c>
      <c r="M109" s="24"/>
      <c r="N109" s="4">
        <v>8</v>
      </c>
      <c r="O109" s="245"/>
      <c r="P109" s="142" t="s">
        <v>45</v>
      </c>
      <c r="Q109" s="142" t="s">
        <v>84</v>
      </c>
      <c r="R109" s="172" t="s">
        <v>47</v>
      </c>
      <c r="S109" s="172">
        <v>-5</v>
      </c>
      <c r="T109" s="172"/>
      <c r="U109" s="173">
        <v>1</v>
      </c>
      <c r="V109" s="172" t="s">
        <v>139</v>
      </c>
      <c r="W109" s="172">
        <v>1000</v>
      </c>
      <c r="X109" s="172" t="s">
        <v>87</v>
      </c>
      <c r="Y109" s="215" t="s">
        <v>414</v>
      </c>
      <c r="Z109" s="142">
        <v>59</v>
      </c>
      <c r="AA109" s="225">
        <v>0.21</v>
      </c>
      <c r="AB109" s="5">
        <v>0.97599999999999998</v>
      </c>
      <c r="AC109" s="5">
        <v>2.8</v>
      </c>
      <c r="AD109" s="192" t="s">
        <v>646</v>
      </c>
    </row>
    <row r="110" spans="1:30" ht="68.25" customHeight="1" x14ac:dyDescent="0.25">
      <c r="A110" s="325">
        <v>41390</v>
      </c>
      <c r="B110" s="13" t="s">
        <v>643</v>
      </c>
      <c r="C110" s="2">
        <v>97</v>
      </c>
      <c r="D110" s="2">
        <v>73</v>
      </c>
      <c r="E110" s="3">
        <v>34</v>
      </c>
      <c r="F110" s="7" t="s">
        <v>645</v>
      </c>
      <c r="G110" s="9" t="s">
        <v>647</v>
      </c>
      <c r="H110" s="3">
        <v>2</v>
      </c>
      <c r="I110" s="24" t="s">
        <v>640</v>
      </c>
      <c r="J110" s="23" t="s">
        <v>538</v>
      </c>
      <c r="K110" s="4">
        <v>15</v>
      </c>
      <c r="L110" s="4">
        <v>250</v>
      </c>
      <c r="M110" s="24"/>
      <c r="N110" s="4">
        <v>8</v>
      </c>
      <c r="O110" s="245"/>
      <c r="P110" s="142" t="s">
        <v>45</v>
      </c>
      <c r="Q110" s="142" t="s">
        <v>84</v>
      </c>
      <c r="R110" s="142" t="s">
        <v>47</v>
      </c>
      <c r="S110" s="142">
        <v>-5</v>
      </c>
      <c r="T110" s="142"/>
      <c r="U110" s="143">
        <v>1</v>
      </c>
      <c r="V110" s="142" t="s">
        <v>139</v>
      </c>
      <c r="W110" s="142">
        <v>1000</v>
      </c>
      <c r="X110" s="142" t="s">
        <v>87</v>
      </c>
      <c r="Y110" s="215" t="s">
        <v>414</v>
      </c>
      <c r="Z110" s="142" t="s">
        <v>642</v>
      </c>
      <c r="AA110" s="225">
        <v>0.21</v>
      </c>
      <c r="AB110" s="5">
        <v>0.97599999999999998</v>
      </c>
      <c r="AC110" s="5">
        <v>2.8</v>
      </c>
      <c r="AD110" s="192" t="s">
        <v>722</v>
      </c>
    </row>
    <row r="111" spans="1:30" ht="68.25" customHeight="1" x14ac:dyDescent="0.25">
      <c r="A111" s="325">
        <v>41393</v>
      </c>
      <c r="B111" s="13" t="s">
        <v>679</v>
      </c>
      <c r="C111" s="2">
        <v>98</v>
      </c>
      <c r="D111" s="2">
        <v>118</v>
      </c>
      <c r="E111" s="3">
        <v>23</v>
      </c>
      <c r="F111" s="7" t="s">
        <v>648</v>
      </c>
      <c r="G111" s="9" t="s">
        <v>650</v>
      </c>
      <c r="H111" s="3"/>
      <c r="I111" s="24" t="s">
        <v>651</v>
      </c>
      <c r="J111" s="23" t="s">
        <v>649</v>
      </c>
      <c r="K111" s="4" t="s">
        <v>652</v>
      </c>
      <c r="L111" s="4">
        <v>250</v>
      </c>
      <c r="M111" s="24"/>
      <c r="N111" s="4" t="s">
        <v>62</v>
      </c>
      <c r="O111" s="245" t="s">
        <v>62</v>
      </c>
      <c r="P111" s="142" t="s">
        <v>45</v>
      </c>
      <c r="Q111" s="142" t="s">
        <v>84</v>
      </c>
      <c r="R111" s="142" t="s">
        <v>47</v>
      </c>
      <c r="S111" s="142">
        <v>-5</v>
      </c>
      <c r="T111" s="142"/>
      <c r="U111" s="143">
        <v>1</v>
      </c>
      <c r="V111" s="142" t="s">
        <v>139</v>
      </c>
      <c r="W111" s="142">
        <v>1000</v>
      </c>
      <c r="X111" s="142" t="s">
        <v>87</v>
      </c>
      <c r="Y111" s="215" t="s">
        <v>523</v>
      </c>
      <c r="Z111" s="142" t="s">
        <v>653</v>
      </c>
      <c r="AA111" s="225">
        <v>0.1734</v>
      </c>
      <c r="AB111" s="5">
        <v>0.98299999999999998</v>
      </c>
      <c r="AC111" s="5">
        <v>3.2</v>
      </c>
      <c r="AD111" s="192" t="s">
        <v>658</v>
      </c>
    </row>
    <row r="112" spans="1:30" ht="68.25" customHeight="1" x14ac:dyDescent="0.25">
      <c r="A112" s="325">
        <v>41393</v>
      </c>
      <c r="B112" s="13" t="s">
        <v>680</v>
      </c>
      <c r="C112" s="2">
        <v>99</v>
      </c>
      <c r="D112" s="2">
        <v>119</v>
      </c>
      <c r="E112" s="3">
        <v>23</v>
      </c>
      <c r="F112" s="7" t="s">
        <v>648</v>
      </c>
      <c r="G112" s="9" t="s">
        <v>650</v>
      </c>
      <c r="H112" s="3">
        <v>2</v>
      </c>
      <c r="I112" s="24" t="s">
        <v>651</v>
      </c>
      <c r="J112" s="23" t="s">
        <v>654</v>
      </c>
      <c r="K112" s="4" t="s">
        <v>655</v>
      </c>
      <c r="L112" s="4">
        <v>250</v>
      </c>
      <c r="M112" s="24" t="s">
        <v>656</v>
      </c>
      <c r="N112" s="4" t="s">
        <v>62</v>
      </c>
      <c r="O112" s="245" t="s">
        <v>62</v>
      </c>
      <c r="P112" s="142" t="s">
        <v>45</v>
      </c>
      <c r="Q112" s="142" t="s">
        <v>84</v>
      </c>
      <c r="R112" s="142" t="s">
        <v>47</v>
      </c>
      <c r="S112" s="142">
        <v>-5</v>
      </c>
      <c r="T112" s="142"/>
      <c r="U112" s="143">
        <v>1</v>
      </c>
      <c r="V112" s="142" t="s">
        <v>139</v>
      </c>
      <c r="W112" s="142">
        <v>1000</v>
      </c>
      <c r="X112" s="142" t="s">
        <v>87</v>
      </c>
      <c r="Y112" s="215" t="s">
        <v>523</v>
      </c>
      <c r="Z112" s="142" t="s">
        <v>657</v>
      </c>
      <c r="AA112" s="225">
        <v>0.1734</v>
      </c>
      <c r="AB112" s="5">
        <v>0.98299999999999998</v>
      </c>
      <c r="AC112" s="5">
        <v>3.2</v>
      </c>
      <c r="AD112" s="192" t="s">
        <v>659</v>
      </c>
    </row>
    <row r="113" spans="1:30" ht="68.25" customHeight="1" x14ac:dyDescent="0.25">
      <c r="A113" s="325">
        <v>41396</v>
      </c>
      <c r="B113" s="13" t="s">
        <v>681</v>
      </c>
      <c r="C113" s="2">
        <v>100</v>
      </c>
      <c r="D113" s="2">
        <v>89</v>
      </c>
      <c r="E113" s="3">
        <v>44</v>
      </c>
      <c r="F113" s="7" t="s">
        <v>660</v>
      </c>
      <c r="G113" s="9" t="s">
        <v>661</v>
      </c>
      <c r="H113" s="3">
        <v>2</v>
      </c>
      <c r="I113" s="24" t="s">
        <v>651</v>
      </c>
      <c r="J113" s="23" t="s">
        <v>662</v>
      </c>
      <c r="K113" s="4" t="s">
        <v>663</v>
      </c>
      <c r="L113" s="4">
        <v>50</v>
      </c>
      <c r="M113" s="24" t="s">
        <v>665</v>
      </c>
      <c r="N113" s="4"/>
      <c r="O113" s="245"/>
      <c r="P113" s="142" t="s">
        <v>45</v>
      </c>
      <c r="Q113" s="142" t="s">
        <v>46</v>
      </c>
      <c r="R113" s="142" t="s">
        <v>47</v>
      </c>
      <c r="S113" s="142">
        <v>-5</v>
      </c>
      <c r="T113" s="142" t="s">
        <v>664</v>
      </c>
      <c r="U113" s="143" t="s">
        <v>581</v>
      </c>
      <c r="V113" s="142" t="s">
        <v>122</v>
      </c>
      <c r="W113" s="142">
        <v>1600</v>
      </c>
      <c r="X113" s="142" t="s">
        <v>578</v>
      </c>
      <c r="Y113" s="215" t="s">
        <v>455</v>
      </c>
      <c r="Z113" s="142">
        <v>135</v>
      </c>
      <c r="AA113" s="225">
        <v>0.1605</v>
      </c>
      <c r="AB113" s="5">
        <v>0.98199999999999998</v>
      </c>
      <c r="AC113" s="5">
        <v>3.4</v>
      </c>
      <c r="AD113" s="192" t="s">
        <v>666</v>
      </c>
    </row>
    <row r="114" spans="1:30" ht="68.25" customHeight="1" x14ac:dyDescent="0.25">
      <c r="A114" s="325">
        <v>41396</v>
      </c>
      <c r="B114" s="13" t="s">
        <v>682</v>
      </c>
      <c r="C114" s="2">
        <v>101</v>
      </c>
      <c r="D114" s="2">
        <v>95</v>
      </c>
      <c r="E114" s="3">
        <v>44</v>
      </c>
      <c r="F114" s="318" t="s">
        <v>669</v>
      </c>
      <c r="G114" s="9" t="s">
        <v>661</v>
      </c>
      <c r="H114" s="3">
        <v>2</v>
      </c>
      <c r="I114" s="24" t="s">
        <v>651</v>
      </c>
      <c r="J114" s="23" t="s">
        <v>667</v>
      </c>
      <c r="K114" s="4" t="s">
        <v>668</v>
      </c>
      <c r="L114" s="4">
        <v>250</v>
      </c>
      <c r="M114" s="24" t="s">
        <v>62</v>
      </c>
      <c r="N114" s="4"/>
      <c r="O114" s="245" t="s">
        <v>62</v>
      </c>
      <c r="P114" s="142" t="s">
        <v>45</v>
      </c>
      <c r="Q114" s="142" t="s">
        <v>46</v>
      </c>
      <c r="R114" s="142" t="s">
        <v>47</v>
      </c>
      <c r="S114" s="142">
        <v>-5</v>
      </c>
      <c r="T114" s="142"/>
      <c r="U114" s="143" t="s">
        <v>581</v>
      </c>
      <c r="V114" s="142" t="s">
        <v>122</v>
      </c>
      <c r="W114" s="142">
        <v>1600</v>
      </c>
      <c r="X114" s="142" t="s">
        <v>578</v>
      </c>
      <c r="Y114" s="215" t="s">
        <v>455</v>
      </c>
      <c r="Z114" s="142">
        <v>0</v>
      </c>
      <c r="AA114" s="225">
        <v>0.1605</v>
      </c>
      <c r="AB114" s="5">
        <v>0.98199999999999998</v>
      </c>
      <c r="AC114" s="5">
        <v>3.4</v>
      </c>
      <c r="AD114" s="192" t="s">
        <v>670</v>
      </c>
    </row>
    <row r="115" spans="1:30" ht="68.25" customHeight="1" x14ac:dyDescent="0.25">
      <c r="A115" s="325">
        <v>41396</v>
      </c>
      <c r="B115" s="13" t="s">
        <v>683</v>
      </c>
      <c r="C115" s="2">
        <v>102</v>
      </c>
      <c r="D115" s="2">
        <v>92</v>
      </c>
      <c r="E115" s="3">
        <v>40</v>
      </c>
      <c r="F115" s="28" t="s">
        <v>594</v>
      </c>
      <c r="G115" s="9" t="s">
        <v>661</v>
      </c>
      <c r="H115" s="3">
        <v>2</v>
      </c>
      <c r="I115" s="24" t="s">
        <v>651</v>
      </c>
      <c r="J115" s="23" t="s">
        <v>671</v>
      </c>
      <c r="K115" s="4" t="s">
        <v>672</v>
      </c>
      <c r="L115" s="4">
        <v>250</v>
      </c>
      <c r="M115" s="24"/>
      <c r="N115" s="4" t="s">
        <v>62</v>
      </c>
      <c r="O115" s="245" t="s">
        <v>62</v>
      </c>
      <c r="P115" s="142" t="s">
        <v>45</v>
      </c>
      <c r="Q115" s="142" t="s">
        <v>46</v>
      </c>
      <c r="R115" s="142" t="s">
        <v>47</v>
      </c>
      <c r="S115" s="142">
        <v>-5</v>
      </c>
      <c r="T115" s="142" t="s">
        <v>50</v>
      </c>
      <c r="U115" s="143" t="s">
        <v>581</v>
      </c>
      <c r="V115" s="142" t="s">
        <v>122</v>
      </c>
      <c r="W115" s="142">
        <v>1600</v>
      </c>
      <c r="X115" s="142" t="s">
        <v>578</v>
      </c>
      <c r="Y115" s="215" t="s">
        <v>475</v>
      </c>
      <c r="Z115" s="142">
        <v>81</v>
      </c>
      <c r="AA115" s="225">
        <v>0.16300000000000001</v>
      </c>
      <c r="AB115" s="5">
        <v>0.98199999999999998</v>
      </c>
      <c r="AC115" s="5">
        <v>3.4</v>
      </c>
      <c r="AD115" s="192" t="s">
        <v>673</v>
      </c>
    </row>
    <row r="116" spans="1:30" ht="68.25" customHeight="1" x14ac:dyDescent="0.25">
      <c r="A116" s="325">
        <v>41396</v>
      </c>
      <c r="B116" s="13" t="s">
        <v>683</v>
      </c>
      <c r="C116" s="2">
        <v>103</v>
      </c>
      <c r="D116" s="2">
        <v>78</v>
      </c>
      <c r="E116" s="3">
        <v>42</v>
      </c>
      <c r="F116" s="7" t="s">
        <v>496</v>
      </c>
      <c r="G116" s="9" t="s">
        <v>661</v>
      </c>
      <c r="H116" s="3">
        <v>2</v>
      </c>
      <c r="I116" s="24" t="s">
        <v>677</v>
      </c>
      <c r="J116" s="23" t="s">
        <v>671</v>
      </c>
      <c r="K116" s="4"/>
      <c r="L116" s="12" t="s">
        <v>676</v>
      </c>
      <c r="M116" s="24"/>
      <c r="N116" s="4"/>
      <c r="O116" s="245" t="s">
        <v>62</v>
      </c>
      <c r="P116" s="142" t="s">
        <v>45</v>
      </c>
      <c r="Q116" s="142" t="s">
        <v>84</v>
      </c>
      <c r="R116" s="142" t="s">
        <v>47</v>
      </c>
      <c r="S116" s="142">
        <v>-5</v>
      </c>
      <c r="T116" s="142" t="s">
        <v>62</v>
      </c>
      <c r="U116" s="143">
        <v>1</v>
      </c>
      <c r="V116" s="142" t="s">
        <v>139</v>
      </c>
      <c r="W116" s="142">
        <v>1000</v>
      </c>
      <c r="X116" s="142" t="s">
        <v>87</v>
      </c>
      <c r="Y116" s="215" t="s">
        <v>475</v>
      </c>
      <c r="Z116" s="142">
        <v>328</v>
      </c>
      <c r="AA116" s="225">
        <v>0.16300000000000001</v>
      </c>
      <c r="AB116" s="5">
        <v>0.98199999999999998</v>
      </c>
      <c r="AC116" s="5">
        <v>3.4</v>
      </c>
      <c r="AD116" s="192" t="s">
        <v>675</v>
      </c>
    </row>
    <row r="117" spans="1:30" ht="68.25" customHeight="1" x14ac:dyDescent="0.25">
      <c r="A117" s="325">
        <v>74280</v>
      </c>
      <c r="B117" s="13" t="s">
        <v>686</v>
      </c>
      <c r="C117" s="2">
        <v>104</v>
      </c>
      <c r="D117" s="2">
        <v>50</v>
      </c>
      <c r="E117" s="3">
        <v>26</v>
      </c>
      <c r="F117" s="7" t="s">
        <v>648</v>
      </c>
      <c r="G117" s="9" t="s">
        <v>661</v>
      </c>
      <c r="H117" s="3">
        <v>2</v>
      </c>
      <c r="I117" s="24"/>
      <c r="J117" s="23" t="s">
        <v>76</v>
      </c>
      <c r="K117" s="4">
        <v>5</v>
      </c>
      <c r="L117" s="12">
        <v>50</v>
      </c>
      <c r="M117" s="24"/>
      <c r="N117" s="4"/>
      <c r="O117" s="245"/>
      <c r="P117" s="142" t="s">
        <v>45</v>
      </c>
      <c r="Q117" s="142" t="s">
        <v>84</v>
      </c>
      <c r="R117" s="142" t="s">
        <v>47</v>
      </c>
      <c r="S117" s="142">
        <v>-4</v>
      </c>
      <c r="T117" s="142" t="s">
        <v>62</v>
      </c>
      <c r="U117" s="143">
        <v>1</v>
      </c>
      <c r="V117" s="142" t="s">
        <v>139</v>
      </c>
      <c r="W117" s="142">
        <v>1000</v>
      </c>
      <c r="X117" s="142" t="s">
        <v>87</v>
      </c>
      <c r="Y117" s="215" t="s">
        <v>117</v>
      </c>
      <c r="Z117" s="142" t="s">
        <v>684</v>
      </c>
      <c r="AA117" s="225">
        <v>0.17199999999999999</v>
      </c>
      <c r="AB117" s="5">
        <v>0.97699999999999998</v>
      </c>
      <c r="AC117" s="5">
        <v>2.2999999999999998</v>
      </c>
      <c r="AD117" s="192" t="s">
        <v>685</v>
      </c>
    </row>
    <row r="118" spans="1:30" ht="68.25" customHeight="1" x14ac:dyDescent="0.25">
      <c r="A118" s="325">
        <v>41409</v>
      </c>
      <c r="B118" s="13" t="s">
        <v>690</v>
      </c>
      <c r="C118" s="2">
        <v>105</v>
      </c>
      <c r="D118" s="2">
        <v>51</v>
      </c>
      <c r="E118" s="3">
        <v>26</v>
      </c>
      <c r="F118" s="7" t="s">
        <v>204</v>
      </c>
      <c r="G118" s="9" t="s">
        <v>687</v>
      </c>
      <c r="H118" s="3">
        <v>2</v>
      </c>
      <c r="I118" s="24"/>
      <c r="J118" s="23" t="s">
        <v>76</v>
      </c>
      <c r="K118" s="4">
        <v>5</v>
      </c>
      <c r="L118" s="12">
        <v>250</v>
      </c>
      <c r="M118" s="24"/>
      <c r="N118" s="4"/>
      <c r="O118" s="245"/>
      <c r="P118" s="142" t="s">
        <v>45</v>
      </c>
      <c r="Q118" s="142" t="s">
        <v>84</v>
      </c>
      <c r="R118" s="142" t="s">
        <v>47</v>
      </c>
      <c r="S118" s="142">
        <v>-4</v>
      </c>
      <c r="T118" s="142" t="s">
        <v>62</v>
      </c>
      <c r="U118" s="143">
        <v>1</v>
      </c>
      <c r="V118" s="142" t="s">
        <v>139</v>
      </c>
      <c r="W118" s="142">
        <v>1000</v>
      </c>
      <c r="X118" s="142" t="s">
        <v>87</v>
      </c>
      <c r="Y118" s="215" t="s">
        <v>117</v>
      </c>
      <c r="Z118" s="142" t="s">
        <v>689</v>
      </c>
      <c r="AA118" s="225">
        <v>0.17199999999999999</v>
      </c>
      <c r="AB118" s="5">
        <v>0.97699999999999998</v>
      </c>
      <c r="AC118" s="5">
        <v>2.2999999999999998</v>
      </c>
      <c r="AD118" s="192" t="s">
        <v>688</v>
      </c>
    </row>
    <row r="119" spans="1:30" ht="68.25" customHeight="1" x14ac:dyDescent="0.25">
      <c r="A119" s="325">
        <v>41409</v>
      </c>
      <c r="B119" s="13" t="s">
        <v>694</v>
      </c>
      <c r="C119" s="2">
        <v>106</v>
      </c>
      <c r="D119" s="2">
        <v>52</v>
      </c>
      <c r="E119" s="3">
        <v>26</v>
      </c>
      <c r="F119" s="7" t="s">
        <v>204</v>
      </c>
      <c r="G119" s="9" t="s">
        <v>696</v>
      </c>
      <c r="H119" s="3">
        <v>2</v>
      </c>
      <c r="I119" s="24"/>
      <c r="J119" s="23" t="s">
        <v>691</v>
      </c>
      <c r="K119" s="4" t="s">
        <v>692</v>
      </c>
      <c r="L119" s="12">
        <v>250</v>
      </c>
      <c r="M119" s="24"/>
      <c r="N119" s="4"/>
      <c r="O119" s="245"/>
      <c r="P119" s="142" t="s">
        <v>45</v>
      </c>
      <c r="Q119" s="142" t="s">
        <v>84</v>
      </c>
      <c r="R119" s="142" t="s">
        <v>47</v>
      </c>
      <c r="S119" s="142">
        <v>-4</v>
      </c>
      <c r="T119" s="142" t="s">
        <v>62</v>
      </c>
      <c r="U119" s="143">
        <v>1</v>
      </c>
      <c r="V119" s="142" t="s">
        <v>139</v>
      </c>
      <c r="W119" s="142">
        <v>1000</v>
      </c>
      <c r="X119" s="142" t="s">
        <v>87</v>
      </c>
      <c r="Y119" s="215" t="s">
        <v>509</v>
      </c>
      <c r="Z119" s="142">
        <v>91</v>
      </c>
      <c r="AA119" s="225">
        <v>0.17100000000000001</v>
      </c>
      <c r="AB119" s="5">
        <v>0.97699999999999998</v>
      </c>
      <c r="AC119" s="5">
        <v>2.2999999999999998</v>
      </c>
      <c r="AD119" s="192" t="s">
        <v>693</v>
      </c>
    </row>
    <row r="120" spans="1:30" ht="68.25" customHeight="1" x14ac:dyDescent="0.25">
      <c r="A120" s="325">
        <v>41409</v>
      </c>
      <c r="B120" s="13" t="s">
        <v>678</v>
      </c>
      <c r="C120" s="2">
        <v>107</v>
      </c>
      <c r="D120" s="2">
        <v>53</v>
      </c>
      <c r="E120" s="3">
        <v>26</v>
      </c>
      <c r="F120" s="7" t="s">
        <v>204</v>
      </c>
      <c r="G120" s="9" t="s">
        <v>697</v>
      </c>
      <c r="H120" s="3">
        <v>2</v>
      </c>
      <c r="I120" s="24"/>
      <c r="J120" s="23" t="s">
        <v>695</v>
      </c>
      <c r="K120" s="4">
        <v>10</v>
      </c>
      <c r="L120" s="12">
        <v>250</v>
      </c>
      <c r="M120" s="24"/>
      <c r="N120" s="4"/>
      <c r="O120" s="245"/>
      <c r="P120" s="142" t="s">
        <v>45</v>
      </c>
      <c r="Q120" s="142" t="s">
        <v>84</v>
      </c>
      <c r="R120" s="142" t="s">
        <v>47</v>
      </c>
      <c r="S120" s="142">
        <v>-4</v>
      </c>
      <c r="T120" s="142" t="s">
        <v>62</v>
      </c>
      <c r="U120" s="143">
        <v>1</v>
      </c>
      <c r="V120" s="142" t="s">
        <v>139</v>
      </c>
      <c r="W120" s="142">
        <v>1000</v>
      </c>
      <c r="X120" s="142" t="s">
        <v>87</v>
      </c>
      <c r="Y120" s="215" t="s">
        <v>509</v>
      </c>
      <c r="Z120" s="142">
        <v>0</v>
      </c>
      <c r="AA120" s="225">
        <v>0.17130000000000001</v>
      </c>
      <c r="AB120" s="5">
        <v>0.97699999999999998</v>
      </c>
      <c r="AC120" s="5">
        <v>2.2999999999999998</v>
      </c>
      <c r="AD120" s="192" t="s">
        <v>698</v>
      </c>
    </row>
    <row r="121" spans="1:30" ht="68.25" customHeight="1" x14ac:dyDescent="0.25">
      <c r="A121" s="325">
        <v>41411</v>
      </c>
      <c r="B121" s="13" t="s">
        <v>704</v>
      </c>
      <c r="C121" s="2">
        <v>108</v>
      </c>
      <c r="D121" s="2">
        <v>106</v>
      </c>
      <c r="E121" s="3">
        <v>26</v>
      </c>
      <c r="F121" s="7" t="s">
        <v>204</v>
      </c>
      <c r="G121" s="9" t="s">
        <v>699</v>
      </c>
      <c r="H121" s="3">
        <v>2</v>
      </c>
      <c r="I121" s="24"/>
      <c r="J121" s="23" t="s">
        <v>700</v>
      </c>
      <c r="K121" s="4" t="s">
        <v>701</v>
      </c>
      <c r="L121" s="12">
        <v>250</v>
      </c>
      <c r="M121" s="24"/>
      <c r="N121" s="4"/>
      <c r="O121" s="245"/>
      <c r="P121" s="142" t="s">
        <v>45</v>
      </c>
      <c r="Q121" s="142" t="s">
        <v>84</v>
      </c>
      <c r="R121" s="142" t="s">
        <v>47</v>
      </c>
      <c r="S121" s="142">
        <v>-5</v>
      </c>
      <c r="T121" s="142" t="s">
        <v>62</v>
      </c>
      <c r="U121" s="143">
        <v>1</v>
      </c>
      <c r="V121" s="142" t="s">
        <v>139</v>
      </c>
      <c r="W121" s="142">
        <v>1000</v>
      </c>
      <c r="X121" s="142" t="s">
        <v>87</v>
      </c>
      <c r="Y121" s="215" t="s">
        <v>482</v>
      </c>
      <c r="Z121" s="142">
        <v>133</v>
      </c>
      <c r="AA121" s="225">
        <v>0.17169999999999999</v>
      </c>
      <c r="AB121" s="5">
        <v>0.98</v>
      </c>
      <c r="AC121" s="5">
        <v>1.9</v>
      </c>
      <c r="AD121" s="192" t="s">
        <v>702</v>
      </c>
    </row>
    <row r="122" spans="1:30" ht="68.25" customHeight="1" x14ac:dyDescent="0.25">
      <c r="A122" s="325">
        <v>41411</v>
      </c>
      <c r="B122" s="13" t="s">
        <v>709</v>
      </c>
      <c r="C122" s="2">
        <v>109</v>
      </c>
      <c r="D122" s="2">
        <v>107</v>
      </c>
      <c r="E122" s="3">
        <v>26</v>
      </c>
      <c r="F122" s="7" t="s">
        <v>204</v>
      </c>
      <c r="G122" s="9" t="s">
        <v>699</v>
      </c>
      <c r="H122" s="3">
        <v>2</v>
      </c>
      <c r="I122" s="24"/>
      <c r="J122" s="23" t="s">
        <v>707</v>
      </c>
      <c r="K122" s="4"/>
      <c r="L122" s="12">
        <v>250</v>
      </c>
      <c r="M122" s="24"/>
      <c r="N122" s="4"/>
      <c r="O122" s="245"/>
      <c r="P122" s="142" t="s">
        <v>45</v>
      </c>
      <c r="Q122" s="142" t="s">
        <v>84</v>
      </c>
      <c r="R122" s="142" t="s">
        <v>47</v>
      </c>
      <c r="S122" s="142">
        <v>-5</v>
      </c>
      <c r="T122" s="142" t="s">
        <v>62</v>
      </c>
      <c r="U122" s="143">
        <v>1</v>
      </c>
      <c r="V122" s="142" t="s">
        <v>139</v>
      </c>
      <c r="W122" s="142">
        <v>1000</v>
      </c>
      <c r="X122" s="142" t="s">
        <v>87</v>
      </c>
      <c r="Y122" s="215" t="s">
        <v>482</v>
      </c>
      <c r="Z122" s="142"/>
      <c r="AA122" s="225">
        <v>0.17169999999999999</v>
      </c>
      <c r="AB122" s="5">
        <v>0.98</v>
      </c>
      <c r="AC122" s="5">
        <v>1.9</v>
      </c>
      <c r="AD122" s="192" t="s">
        <v>708</v>
      </c>
    </row>
    <row r="123" spans="1:30" ht="68.25" customHeight="1" x14ac:dyDescent="0.25">
      <c r="A123" s="325">
        <v>41411</v>
      </c>
      <c r="B123" s="13" t="s">
        <v>705</v>
      </c>
      <c r="C123" s="2">
        <v>110</v>
      </c>
      <c r="D123" s="2">
        <v>108</v>
      </c>
      <c r="E123" s="3">
        <v>26</v>
      </c>
      <c r="F123" s="7" t="s">
        <v>204</v>
      </c>
      <c r="G123" s="9" t="s">
        <v>699</v>
      </c>
      <c r="H123" s="3">
        <v>2</v>
      </c>
      <c r="I123" s="24"/>
      <c r="J123" s="23" t="s">
        <v>706</v>
      </c>
      <c r="K123" s="4"/>
      <c r="L123" s="12">
        <v>250</v>
      </c>
      <c r="M123" s="24"/>
      <c r="N123" s="4"/>
      <c r="O123" s="245"/>
      <c r="P123" s="142" t="s">
        <v>45</v>
      </c>
      <c r="Q123" s="142" t="s">
        <v>84</v>
      </c>
      <c r="R123" s="142" t="s">
        <v>47</v>
      </c>
      <c r="S123" s="142">
        <v>-5</v>
      </c>
      <c r="T123" s="142" t="s">
        <v>62</v>
      </c>
      <c r="U123" s="143">
        <v>1</v>
      </c>
      <c r="V123" s="142" t="s">
        <v>139</v>
      </c>
      <c r="W123" s="142">
        <v>1000</v>
      </c>
      <c r="X123" s="142" t="s">
        <v>87</v>
      </c>
      <c r="Y123" s="215" t="s">
        <v>455</v>
      </c>
      <c r="Z123" s="142">
        <v>186</v>
      </c>
      <c r="AA123" s="225">
        <v>0.1724</v>
      </c>
      <c r="AB123" s="5">
        <v>0.98</v>
      </c>
      <c r="AC123" s="5">
        <v>1.9</v>
      </c>
      <c r="AD123" s="192" t="s">
        <v>710</v>
      </c>
    </row>
    <row r="124" spans="1:30" ht="68.25" customHeight="1" x14ac:dyDescent="0.25">
      <c r="A124" s="325">
        <v>41426</v>
      </c>
      <c r="B124" s="13" t="s">
        <v>703</v>
      </c>
      <c r="C124" s="2">
        <v>111</v>
      </c>
      <c r="D124" s="2">
        <v>109</v>
      </c>
      <c r="E124" s="3">
        <v>26</v>
      </c>
      <c r="F124" s="7" t="s">
        <v>204</v>
      </c>
      <c r="G124" s="9" t="s">
        <v>699</v>
      </c>
      <c r="H124" s="3">
        <v>2</v>
      </c>
      <c r="I124" s="24"/>
      <c r="J124" s="23" t="s">
        <v>713</v>
      </c>
      <c r="K124" s="4"/>
      <c r="L124" s="4">
        <v>250</v>
      </c>
      <c r="M124" s="24"/>
      <c r="N124" s="4"/>
      <c r="O124" s="245"/>
      <c r="P124" s="142" t="s">
        <v>45</v>
      </c>
      <c r="Q124" s="142" t="s">
        <v>84</v>
      </c>
      <c r="R124" s="142" t="s">
        <v>47</v>
      </c>
      <c r="S124" s="142">
        <v>-5</v>
      </c>
      <c r="T124" s="142" t="s">
        <v>62</v>
      </c>
      <c r="U124" s="143">
        <v>1</v>
      </c>
      <c r="V124" s="142" t="s">
        <v>139</v>
      </c>
      <c r="W124" s="142">
        <v>1000</v>
      </c>
      <c r="X124" s="142" t="s">
        <v>87</v>
      </c>
      <c r="Y124" s="215" t="s">
        <v>523</v>
      </c>
      <c r="Z124" s="142" t="s">
        <v>712</v>
      </c>
      <c r="AA124" s="225">
        <v>0.1724</v>
      </c>
      <c r="AB124" s="5">
        <v>0.98</v>
      </c>
      <c r="AC124" s="5">
        <v>1.9</v>
      </c>
      <c r="AD124" s="192" t="s">
        <v>711</v>
      </c>
    </row>
    <row r="125" spans="1:30" ht="68.25" customHeight="1" x14ac:dyDescent="0.25">
      <c r="A125" s="325">
        <v>41426</v>
      </c>
      <c r="B125" s="13" t="s">
        <v>717</v>
      </c>
      <c r="C125" s="2">
        <v>112</v>
      </c>
      <c r="D125" s="2">
        <v>79</v>
      </c>
      <c r="E125" s="3">
        <v>42</v>
      </c>
      <c r="F125" s="7" t="s">
        <v>715</v>
      </c>
      <c r="G125" s="9" t="s">
        <v>714</v>
      </c>
      <c r="H125" s="3">
        <v>2</v>
      </c>
      <c r="I125" s="24"/>
      <c r="J125" s="23" t="s">
        <v>695</v>
      </c>
      <c r="K125" s="4"/>
      <c r="L125" s="4">
        <v>250</v>
      </c>
      <c r="M125" s="24"/>
      <c r="N125" s="4"/>
      <c r="O125" s="245"/>
      <c r="P125" s="142" t="s">
        <v>45</v>
      </c>
      <c r="Q125" s="142" t="s">
        <v>84</v>
      </c>
      <c r="R125" s="142" t="s">
        <v>47</v>
      </c>
      <c r="S125" s="142">
        <v>-5</v>
      </c>
      <c r="T125" s="142" t="s">
        <v>62</v>
      </c>
      <c r="U125" s="143">
        <v>1</v>
      </c>
      <c r="V125" s="142" t="s">
        <v>139</v>
      </c>
      <c r="W125" s="142">
        <v>1000</v>
      </c>
      <c r="X125" s="142" t="s">
        <v>87</v>
      </c>
      <c r="Y125" s="215" t="s">
        <v>475</v>
      </c>
      <c r="Z125" s="142">
        <v>0</v>
      </c>
      <c r="AA125" s="225">
        <v>0.17399999999999999</v>
      </c>
      <c r="AB125" s="5">
        <v>0.99629999999999996</v>
      </c>
      <c r="AC125" s="5">
        <v>2.2999999999999998</v>
      </c>
      <c r="AD125" s="192" t="s">
        <v>716</v>
      </c>
    </row>
    <row r="126" spans="1:30" ht="68.25" customHeight="1" x14ac:dyDescent="0.25">
      <c r="A126" s="325">
        <v>41426</v>
      </c>
      <c r="B126" s="13" t="s">
        <v>719</v>
      </c>
      <c r="C126" s="2">
        <v>113</v>
      </c>
      <c r="D126" s="2">
        <v>80</v>
      </c>
      <c r="E126" s="3">
        <v>42</v>
      </c>
      <c r="F126" s="7" t="s">
        <v>715</v>
      </c>
      <c r="G126" s="9" t="s">
        <v>714</v>
      </c>
      <c r="H126" s="3">
        <v>2</v>
      </c>
      <c r="I126" s="24"/>
      <c r="J126" s="23" t="s">
        <v>695</v>
      </c>
      <c r="K126" s="4" t="s">
        <v>421</v>
      </c>
      <c r="L126" s="4">
        <v>250</v>
      </c>
      <c r="M126" s="24"/>
      <c r="N126" s="4"/>
      <c r="O126" s="245"/>
      <c r="P126" s="142" t="s">
        <v>45</v>
      </c>
      <c r="Q126" s="142" t="s">
        <v>84</v>
      </c>
      <c r="R126" s="142" t="s">
        <v>47</v>
      </c>
      <c r="S126" s="142">
        <v>-5</v>
      </c>
      <c r="T126" s="142" t="s">
        <v>62</v>
      </c>
      <c r="U126" s="143">
        <v>1</v>
      </c>
      <c r="V126" s="142" t="s">
        <v>139</v>
      </c>
      <c r="W126" s="142">
        <v>1000</v>
      </c>
      <c r="X126" s="142" t="s">
        <v>87</v>
      </c>
      <c r="Y126" s="215" t="s">
        <v>475</v>
      </c>
      <c r="Z126" s="142">
        <v>0</v>
      </c>
      <c r="AA126" s="225">
        <v>0.21179999999999999</v>
      </c>
      <c r="AB126" s="5">
        <v>0.99629999999999996</v>
      </c>
      <c r="AC126" s="5">
        <v>2.2999999999999998</v>
      </c>
      <c r="AD126" s="192" t="s">
        <v>718</v>
      </c>
    </row>
    <row r="127" spans="1:30" ht="68.25" customHeight="1" x14ac:dyDescent="0.25">
      <c r="A127" s="325">
        <v>41426</v>
      </c>
      <c r="B127" s="13" t="s">
        <v>721</v>
      </c>
      <c r="C127" s="2">
        <v>114</v>
      </c>
      <c r="D127" s="2">
        <v>75</v>
      </c>
      <c r="E127" s="3">
        <v>41</v>
      </c>
      <c r="F127" s="7" t="s">
        <v>715</v>
      </c>
      <c r="G127" s="9" t="s">
        <v>714</v>
      </c>
      <c r="H127" s="3">
        <v>2</v>
      </c>
      <c r="I127" s="24"/>
      <c r="J127" s="23" t="s">
        <v>695</v>
      </c>
      <c r="K127" s="4">
        <v>10</v>
      </c>
      <c r="L127" s="4">
        <v>250</v>
      </c>
      <c r="M127" s="24"/>
      <c r="N127" s="4"/>
      <c r="O127" s="245"/>
      <c r="P127" s="142" t="s">
        <v>45</v>
      </c>
      <c r="Q127" s="142" t="s">
        <v>84</v>
      </c>
      <c r="R127" s="142" t="s">
        <v>47</v>
      </c>
      <c r="S127" s="142">
        <v>-5</v>
      </c>
      <c r="T127" s="142" t="s">
        <v>62</v>
      </c>
      <c r="U127" s="143">
        <v>1</v>
      </c>
      <c r="V127" s="142" t="s">
        <v>139</v>
      </c>
      <c r="W127" s="142">
        <v>1000</v>
      </c>
      <c r="X127" s="142" t="s">
        <v>87</v>
      </c>
      <c r="Y127" s="215" t="s">
        <v>475</v>
      </c>
      <c r="Z127" s="142">
        <v>0</v>
      </c>
      <c r="AA127" s="225">
        <v>0.21179999999999999</v>
      </c>
      <c r="AB127" s="5">
        <v>0.99629999999999996</v>
      </c>
      <c r="AC127" s="5">
        <v>2.2999999999999998</v>
      </c>
      <c r="AD127" s="192" t="s">
        <v>720</v>
      </c>
    </row>
    <row r="128" spans="1:30" ht="68.25" customHeight="1" x14ac:dyDescent="0.25">
      <c r="A128" s="325">
        <v>41426</v>
      </c>
      <c r="B128" s="13" t="s">
        <v>724</v>
      </c>
      <c r="C128" s="2">
        <v>115</v>
      </c>
      <c r="D128" s="2">
        <v>53</v>
      </c>
      <c r="E128" s="3">
        <v>26</v>
      </c>
      <c r="F128" s="7" t="s">
        <v>380</v>
      </c>
      <c r="G128" s="9" t="s">
        <v>714</v>
      </c>
      <c r="H128" s="3">
        <v>2</v>
      </c>
      <c r="I128" s="24"/>
      <c r="J128" s="23" t="s">
        <v>726</v>
      </c>
      <c r="K128" s="4"/>
      <c r="L128" s="4">
        <v>50</v>
      </c>
      <c r="M128" s="24"/>
      <c r="N128" s="4"/>
      <c r="O128" s="245"/>
      <c r="P128" s="142" t="s">
        <v>45</v>
      </c>
      <c r="Q128" s="142" t="s">
        <v>84</v>
      </c>
      <c r="R128" s="142" t="s">
        <v>47</v>
      </c>
      <c r="S128" s="142">
        <v>-5</v>
      </c>
      <c r="T128" s="142" t="s">
        <v>62</v>
      </c>
      <c r="U128" s="143">
        <v>1</v>
      </c>
      <c r="V128" s="142" t="s">
        <v>139</v>
      </c>
      <c r="W128" s="142">
        <v>1000</v>
      </c>
      <c r="X128" s="142" t="s">
        <v>87</v>
      </c>
      <c r="Y128" s="215" t="s">
        <v>475</v>
      </c>
      <c r="Z128" s="142">
        <v>27</v>
      </c>
      <c r="AA128" s="225">
        <v>0.21179999999999999</v>
      </c>
      <c r="AB128" s="5">
        <v>0.99629999999999996</v>
      </c>
      <c r="AC128" s="5">
        <v>2.2999999999999998</v>
      </c>
      <c r="AD128" s="192" t="s">
        <v>723</v>
      </c>
    </row>
    <row r="129" spans="1:30" ht="68.25" customHeight="1" x14ac:dyDescent="0.25">
      <c r="A129" s="325">
        <v>41426</v>
      </c>
      <c r="B129" s="13" t="s">
        <v>729</v>
      </c>
      <c r="C129" s="2">
        <v>116</v>
      </c>
      <c r="D129" s="2" t="s">
        <v>725</v>
      </c>
      <c r="E129" s="3">
        <v>26</v>
      </c>
      <c r="F129" s="7" t="s">
        <v>380</v>
      </c>
      <c r="G129" s="9" t="s">
        <v>714</v>
      </c>
      <c r="H129" s="3">
        <v>2</v>
      </c>
      <c r="I129" s="24"/>
      <c r="J129" s="23" t="s">
        <v>727</v>
      </c>
      <c r="K129" s="4"/>
      <c r="L129" s="4">
        <v>50</v>
      </c>
      <c r="M129" s="24"/>
      <c r="N129" s="4"/>
      <c r="O129" s="245"/>
      <c r="P129" s="142" t="s">
        <v>45</v>
      </c>
      <c r="Q129" s="142" t="s">
        <v>84</v>
      </c>
      <c r="R129" s="142" t="s">
        <v>47</v>
      </c>
      <c r="S129" s="142">
        <v>-5</v>
      </c>
      <c r="T129" s="142" t="s">
        <v>62</v>
      </c>
      <c r="U129" s="143">
        <v>1</v>
      </c>
      <c r="V129" s="142" t="s">
        <v>139</v>
      </c>
      <c r="W129" s="142">
        <v>1000</v>
      </c>
      <c r="X129" s="142" t="s">
        <v>87</v>
      </c>
      <c r="Y129" s="215" t="s">
        <v>475</v>
      </c>
      <c r="Z129" s="142">
        <v>120</v>
      </c>
      <c r="AA129" s="225">
        <v>0.21179999999999999</v>
      </c>
      <c r="AB129" s="5">
        <v>0.99629999999999996</v>
      </c>
      <c r="AC129" s="5">
        <v>2.2999999999999998</v>
      </c>
      <c r="AD129" s="192" t="s">
        <v>728</v>
      </c>
    </row>
    <row r="130" spans="1:30" x14ac:dyDescent="0.2">
      <c r="C130" t="s">
        <v>506</v>
      </c>
    </row>
    <row r="131" spans="1:30" x14ac:dyDescent="0.2">
      <c r="C131" s="242" t="s">
        <v>505</v>
      </c>
    </row>
    <row r="132" spans="1:30" x14ac:dyDescent="0.2">
      <c r="C132" t="s">
        <v>521</v>
      </c>
    </row>
    <row r="133" spans="1:30" x14ac:dyDescent="0.2">
      <c r="C133" t="s">
        <v>522</v>
      </c>
    </row>
    <row r="134" spans="1:30" x14ac:dyDescent="0.2">
      <c r="C134" t="s">
        <v>524</v>
      </c>
    </row>
  </sheetData>
  <printOptions horizontalCentered="1" verticalCentered="1"/>
  <pageMargins left="0.25" right="0.25" top="0.75" bottom="0.75" header="0.3" footer="0.3"/>
  <pageSetup scale="4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5"/>
  <sheetViews>
    <sheetView topLeftCell="A78" workbookViewId="0">
      <selection activeCell="B86" sqref="B86"/>
    </sheetView>
  </sheetViews>
  <sheetFormatPr defaultRowHeight="44.25" customHeight="1" x14ac:dyDescent="0.2"/>
  <cols>
    <col min="2" max="2" width="11.85546875" style="8" customWidth="1"/>
    <col min="31" max="31" width="108.85546875" bestFit="1" customWidth="1"/>
  </cols>
  <sheetData>
    <row r="1" spans="1:31" ht="44.25" customHeight="1" x14ac:dyDescent="0.3">
      <c r="A1" s="319" t="s">
        <v>27</v>
      </c>
      <c r="B1" s="348"/>
      <c r="C1" s="320"/>
      <c r="D1" s="321"/>
      <c r="E1" s="321"/>
      <c r="F1" s="321"/>
      <c r="G1" s="318"/>
      <c r="H1" s="317"/>
      <c r="I1" s="321"/>
      <c r="J1" s="322"/>
      <c r="K1" s="317"/>
      <c r="L1" s="321"/>
      <c r="M1" s="321"/>
      <c r="N1" s="322"/>
      <c r="O1" s="321"/>
      <c r="P1" s="321"/>
      <c r="Q1" s="321"/>
      <c r="R1" s="321"/>
      <c r="S1" s="321"/>
      <c r="T1" s="321"/>
      <c r="U1" s="321"/>
      <c r="V1" s="318"/>
      <c r="W1" s="321"/>
      <c r="X1" s="321"/>
      <c r="Y1" s="321"/>
      <c r="Z1" s="323"/>
      <c r="AA1" s="322"/>
      <c r="AB1" s="321"/>
      <c r="AC1" s="321"/>
      <c r="AD1" s="321"/>
      <c r="AE1" s="191"/>
    </row>
    <row r="2" spans="1:31" s="2" customFormat="1" ht="44.25" customHeight="1" x14ac:dyDescent="0.2">
      <c r="B2" s="13"/>
      <c r="C2" s="13"/>
      <c r="E2" s="77" t="s">
        <v>0</v>
      </c>
      <c r="F2" s="3"/>
      <c r="G2" s="7"/>
      <c r="H2" s="9"/>
      <c r="I2" s="3"/>
      <c r="J2" s="11"/>
      <c r="K2" s="113" t="s">
        <v>5</v>
      </c>
      <c r="L2" s="4"/>
      <c r="M2" s="4"/>
      <c r="N2" s="24"/>
      <c r="O2" s="4"/>
      <c r="P2" s="4"/>
      <c r="Q2" s="141" t="s">
        <v>13</v>
      </c>
      <c r="R2" s="142"/>
      <c r="S2" s="142"/>
      <c r="T2" s="142"/>
      <c r="U2" s="142"/>
      <c r="V2" s="143"/>
      <c r="W2" s="142"/>
      <c r="X2" s="142"/>
      <c r="Y2" s="142"/>
      <c r="Z2" s="144"/>
      <c r="AA2" s="145"/>
      <c r="AB2" s="78" t="s">
        <v>20</v>
      </c>
      <c r="AC2" s="5"/>
      <c r="AD2" s="5"/>
      <c r="AE2" s="192"/>
    </row>
    <row r="3" spans="1:31" s="140" customFormat="1" ht="44.25" customHeight="1" thickBot="1" x14ac:dyDescent="0.25">
      <c r="A3" s="130" t="s">
        <v>52</v>
      </c>
      <c r="B3" s="131" t="s">
        <v>746</v>
      </c>
      <c r="C3" s="131" t="s">
        <v>118</v>
      </c>
      <c r="D3" s="130" t="s">
        <v>32</v>
      </c>
      <c r="E3" s="132" t="s">
        <v>2</v>
      </c>
      <c r="F3" s="132" t="s">
        <v>3</v>
      </c>
      <c r="G3" s="133" t="s">
        <v>1</v>
      </c>
      <c r="H3" s="134" t="s">
        <v>4</v>
      </c>
      <c r="I3" s="132" t="s">
        <v>6</v>
      </c>
      <c r="J3" s="134" t="s">
        <v>7</v>
      </c>
      <c r="K3" s="135" t="s">
        <v>8</v>
      </c>
      <c r="L3" s="136" t="s">
        <v>12</v>
      </c>
      <c r="M3" s="137" t="s">
        <v>57</v>
      </c>
      <c r="N3" s="138" t="s">
        <v>9</v>
      </c>
      <c r="O3" s="136" t="s">
        <v>10</v>
      </c>
      <c r="P3" s="136" t="s">
        <v>11</v>
      </c>
      <c r="Q3" s="146" t="s">
        <v>14</v>
      </c>
      <c r="R3" s="146" t="s">
        <v>22</v>
      </c>
      <c r="S3" s="146" t="s">
        <v>23</v>
      </c>
      <c r="T3" s="146" t="s">
        <v>24</v>
      </c>
      <c r="U3" s="146" t="s">
        <v>25</v>
      </c>
      <c r="V3" s="146" t="s">
        <v>15</v>
      </c>
      <c r="W3" s="146" t="s">
        <v>16</v>
      </c>
      <c r="X3" s="146" t="s">
        <v>17</v>
      </c>
      <c r="Y3" s="146" t="s">
        <v>26</v>
      </c>
      <c r="Z3" s="147" t="s">
        <v>18</v>
      </c>
      <c r="AA3" s="148" t="s">
        <v>19</v>
      </c>
      <c r="AB3" s="139" t="s">
        <v>56</v>
      </c>
      <c r="AC3" s="139" t="s">
        <v>55</v>
      </c>
      <c r="AD3" s="139" t="s">
        <v>54</v>
      </c>
      <c r="AE3" s="130" t="s">
        <v>21</v>
      </c>
    </row>
    <row r="4" spans="1:31" s="1" customFormat="1" ht="44.25" customHeight="1" x14ac:dyDescent="0.2">
      <c r="A4" s="43">
        <v>40998</v>
      </c>
      <c r="B4" s="44" t="s">
        <v>747</v>
      </c>
      <c r="C4" s="44" t="s">
        <v>28</v>
      </c>
      <c r="D4" s="45">
        <v>1</v>
      </c>
      <c r="E4" s="46">
        <v>1</v>
      </c>
      <c r="F4" s="46">
        <v>4</v>
      </c>
      <c r="G4" s="51" t="s">
        <v>29</v>
      </c>
      <c r="H4" s="47" t="s">
        <v>30</v>
      </c>
      <c r="I4" s="46">
        <v>2</v>
      </c>
      <c r="J4" s="129" t="s">
        <v>37</v>
      </c>
      <c r="K4" s="48" t="s">
        <v>40</v>
      </c>
      <c r="L4" s="49" t="s">
        <v>39</v>
      </c>
      <c r="M4" s="49">
        <v>250</v>
      </c>
      <c r="N4" s="50" t="s">
        <v>41</v>
      </c>
      <c r="O4" s="49">
        <v>4</v>
      </c>
      <c r="P4" s="49" t="s">
        <v>62</v>
      </c>
      <c r="Q4" s="149" t="s">
        <v>45</v>
      </c>
      <c r="R4" s="149" t="s">
        <v>46</v>
      </c>
      <c r="S4" s="149" t="s">
        <v>47</v>
      </c>
      <c r="T4" s="149">
        <v>-5</v>
      </c>
      <c r="U4" s="149" t="s">
        <v>48</v>
      </c>
      <c r="V4" s="149" t="s">
        <v>68</v>
      </c>
      <c r="W4" s="149">
        <v>2</v>
      </c>
      <c r="X4" s="149">
        <v>1000</v>
      </c>
      <c r="Y4" s="149">
        <v>7</v>
      </c>
      <c r="Z4" s="150">
        <v>3</v>
      </c>
      <c r="AA4" s="151" t="s">
        <v>51</v>
      </c>
      <c r="AB4" s="218">
        <v>0.221</v>
      </c>
      <c r="AC4" s="51">
        <v>0.97</v>
      </c>
      <c r="AD4" s="51">
        <v>2.44</v>
      </c>
      <c r="AE4" s="193" t="s">
        <v>66</v>
      </c>
    </row>
    <row r="5" spans="1:31" s="22" customFormat="1" ht="44.25" customHeight="1" x14ac:dyDescent="0.2">
      <c r="A5" s="20">
        <v>40998</v>
      </c>
      <c r="B5" s="44" t="s">
        <v>747</v>
      </c>
      <c r="C5" s="21" t="s">
        <v>31</v>
      </c>
      <c r="D5" s="22">
        <v>2</v>
      </c>
      <c r="E5" s="7">
        <v>42</v>
      </c>
      <c r="F5" s="7">
        <v>24</v>
      </c>
      <c r="G5" s="7" t="s">
        <v>33</v>
      </c>
      <c r="H5" s="9" t="s">
        <v>35</v>
      </c>
      <c r="I5" s="7">
        <v>2</v>
      </c>
      <c r="J5" s="36" t="s">
        <v>37</v>
      </c>
      <c r="K5" s="23" t="s">
        <v>38</v>
      </c>
      <c r="L5" s="12" t="s">
        <v>53</v>
      </c>
      <c r="M5" s="12">
        <v>50</v>
      </c>
      <c r="N5" s="24" t="s">
        <v>42</v>
      </c>
      <c r="O5" s="12">
        <v>4</v>
      </c>
      <c r="P5" s="12" t="s">
        <v>62</v>
      </c>
      <c r="Q5" s="143" t="s">
        <v>45</v>
      </c>
      <c r="R5" s="143" t="s">
        <v>46</v>
      </c>
      <c r="S5" s="152" t="s">
        <v>47</v>
      </c>
      <c r="T5" s="153">
        <v>-5</v>
      </c>
      <c r="U5" s="143" t="s">
        <v>48</v>
      </c>
      <c r="V5" s="143" t="s">
        <v>63</v>
      </c>
      <c r="W5" s="143">
        <v>2</v>
      </c>
      <c r="X5" s="143">
        <v>1000</v>
      </c>
      <c r="Y5" s="143">
        <v>7</v>
      </c>
      <c r="Z5" s="154">
        <v>3</v>
      </c>
      <c r="AA5" s="145" t="s">
        <v>49</v>
      </c>
      <c r="AB5" s="219">
        <v>0.221</v>
      </c>
      <c r="AC5" s="25">
        <v>0.97</v>
      </c>
      <c r="AD5" s="25">
        <v>2.44</v>
      </c>
      <c r="AE5" s="192" t="s">
        <v>64</v>
      </c>
    </row>
    <row r="6" spans="1:31" s="76" customFormat="1" ht="44.25" customHeight="1" thickBot="1" x14ac:dyDescent="0.25">
      <c r="A6" s="79">
        <v>40998</v>
      </c>
      <c r="B6" s="44" t="s">
        <v>747</v>
      </c>
      <c r="C6" s="80" t="s">
        <v>58</v>
      </c>
      <c r="D6" s="81">
        <v>3</v>
      </c>
      <c r="E6" s="70">
        <v>18</v>
      </c>
      <c r="F6" s="70">
        <v>19</v>
      </c>
      <c r="G6" s="70" t="s">
        <v>34</v>
      </c>
      <c r="H6" s="71" t="s">
        <v>36</v>
      </c>
      <c r="I6" s="70">
        <v>2</v>
      </c>
      <c r="J6" s="82" t="s">
        <v>37</v>
      </c>
      <c r="K6" s="83" t="s">
        <v>59</v>
      </c>
      <c r="L6" s="84" t="s">
        <v>60</v>
      </c>
      <c r="M6" s="84">
        <v>250</v>
      </c>
      <c r="N6" s="73" t="s">
        <v>41</v>
      </c>
      <c r="O6" s="84" t="s">
        <v>44</v>
      </c>
      <c r="P6" s="84" t="s">
        <v>61</v>
      </c>
      <c r="Q6" s="155" t="s">
        <v>45</v>
      </c>
      <c r="R6" s="156" t="s">
        <v>46</v>
      </c>
      <c r="S6" s="157" t="s">
        <v>47</v>
      </c>
      <c r="T6" s="158">
        <v>-5</v>
      </c>
      <c r="U6" s="158" t="s">
        <v>48</v>
      </c>
      <c r="V6" s="158" t="s">
        <v>63</v>
      </c>
      <c r="W6" s="158">
        <v>2</v>
      </c>
      <c r="X6" s="158">
        <v>1000</v>
      </c>
      <c r="Y6" s="158">
        <v>7</v>
      </c>
      <c r="Z6" s="159">
        <v>3</v>
      </c>
      <c r="AA6" s="160" t="s">
        <v>50</v>
      </c>
      <c r="AB6" s="220">
        <v>0.221</v>
      </c>
      <c r="AC6" s="85">
        <v>0.97</v>
      </c>
      <c r="AD6" s="85">
        <v>2.44</v>
      </c>
      <c r="AE6" s="194" t="s">
        <v>65</v>
      </c>
    </row>
    <row r="7" spans="1:31" s="96" customFormat="1" ht="44.25" customHeight="1" thickBot="1" x14ac:dyDescent="0.3">
      <c r="A7" s="332">
        <v>41004</v>
      </c>
      <c r="B7" s="349" t="s">
        <v>748</v>
      </c>
      <c r="C7" s="87" t="s">
        <v>69</v>
      </c>
      <c r="D7" s="88">
        <v>4</v>
      </c>
      <c r="E7" s="89">
        <v>7</v>
      </c>
      <c r="F7" s="89">
        <v>10</v>
      </c>
      <c r="G7" s="95" t="s">
        <v>29</v>
      </c>
      <c r="H7" s="90" t="s">
        <v>30</v>
      </c>
      <c r="I7" s="89">
        <v>2</v>
      </c>
      <c r="J7" s="91" t="s">
        <v>37</v>
      </c>
      <c r="K7" s="92" t="s">
        <v>75</v>
      </c>
      <c r="L7" s="93">
        <v>10</v>
      </c>
      <c r="M7" s="93">
        <v>50</v>
      </c>
      <c r="N7" s="94" t="s">
        <v>43</v>
      </c>
      <c r="O7" s="93">
        <v>8</v>
      </c>
      <c r="P7" s="93" t="s">
        <v>83</v>
      </c>
      <c r="Q7" s="161" t="s">
        <v>45</v>
      </c>
      <c r="R7" s="161" t="s">
        <v>84</v>
      </c>
      <c r="S7" s="161" t="s">
        <v>47</v>
      </c>
      <c r="T7" s="161">
        <v>-2</v>
      </c>
      <c r="U7" s="161" t="s">
        <v>62</v>
      </c>
      <c r="V7" s="161"/>
      <c r="W7" s="161">
        <v>2</v>
      </c>
      <c r="X7" s="161">
        <v>1000</v>
      </c>
      <c r="Y7" s="161" t="s">
        <v>87</v>
      </c>
      <c r="Z7" s="162">
        <v>4</v>
      </c>
      <c r="AA7" s="163" t="s">
        <v>88</v>
      </c>
      <c r="AB7" s="221">
        <v>0.219</v>
      </c>
      <c r="AC7" s="95">
        <v>0.97</v>
      </c>
      <c r="AD7" s="95">
        <v>3.12</v>
      </c>
      <c r="AE7" s="195" t="s">
        <v>93</v>
      </c>
    </row>
    <row r="8" spans="1:31" s="76" customFormat="1" ht="44.25" customHeight="1" thickBot="1" x14ac:dyDescent="0.3">
      <c r="A8" s="333">
        <v>41004</v>
      </c>
      <c r="B8" s="349" t="s">
        <v>748</v>
      </c>
      <c r="C8" s="80" t="s">
        <v>70</v>
      </c>
      <c r="D8" s="86">
        <v>5</v>
      </c>
      <c r="E8" s="70">
        <v>8</v>
      </c>
      <c r="F8" s="70">
        <v>11</v>
      </c>
      <c r="G8" s="85" t="s">
        <v>29</v>
      </c>
      <c r="H8" s="71" t="s">
        <v>30</v>
      </c>
      <c r="I8" s="70">
        <v>2</v>
      </c>
      <c r="J8" s="82" t="s">
        <v>37</v>
      </c>
      <c r="K8" s="83" t="s">
        <v>76</v>
      </c>
      <c r="L8" s="84">
        <v>5</v>
      </c>
      <c r="M8" s="84">
        <v>50</v>
      </c>
      <c r="N8" s="73"/>
      <c r="O8" s="84" t="s">
        <v>62</v>
      </c>
      <c r="P8" s="84" t="s">
        <v>62</v>
      </c>
      <c r="Q8" s="158" t="s">
        <v>45</v>
      </c>
      <c r="R8" s="158" t="s">
        <v>84</v>
      </c>
      <c r="S8" s="158" t="s">
        <v>47</v>
      </c>
      <c r="T8" s="158">
        <v>-2</v>
      </c>
      <c r="U8" s="158" t="s">
        <v>62</v>
      </c>
      <c r="V8" s="158"/>
      <c r="W8" s="158">
        <v>2</v>
      </c>
      <c r="X8" s="158">
        <v>1000</v>
      </c>
      <c r="Y8" s="158" t="s">
        <v>87</v>
      </c>
      <c r="Z8" s="159">
        <v>4</v>
      </c>
      <c r="AA8" s="160" t="s">
        <v>89</v>
      </c>
      <c r="AB8" s="220">
        <v>0.219</v>
      </c>
      <c r="AC8" s="85">
        <v>0.97</v>
      </c>
      <c r="AD8" s="85">
        <v>3.12</v>
      </c>
      <c r="AE8" s="194" t="s">
        <v>92</v>
      </c>
    </row>
    <row r="9" spans="1:31" s="1" customFormat="1" ht="44.25" customHeight="1" x14ac:dyDescent="0.25">
      <c r="A9" s="334">
        <v>41008</v>
      </c>
      <c r="B9" s="350" t="s">
        <v>749</v>
      </c>
      <c r="C9" s="32" t="s">
        <v>71</v>
      </c>
      <c r="D9" s="33">
        <v>6</v>
      </c>
      <c r="E9" s="34">
        <v>43</v>
      </c>
      <c r="F9" s="34">
        <v>24</v>
      </c>
      <c r="G9" s="34" t="s">
        <v>33</v>
      </c>
      <c r="H9" s="35" t="s">
        <v>74</v>
      </c>
      <c r="I9" s="34">
        <v>2</v>
      </c>
      <c r="J9" s="36" t="s">
        <v>37</v>
      </c>
      <c r="K9" s="37" t="s">
        <v>77</v>
      </c>
      <c r="L9" s="38" t="s">
        <v>80</v>
      </c>
      <c r="M9" s="38">
        <v>50</v>
      </c>
      <c r="N9" s="39"/>
      <c r="O9" s="38" t="s">
        <v>85</v>
      </c>
      <c r="P9" s="38"/>
      <c r="Q9" s="164" t="s">
        <v>67</v>
      </c>
      <c r="R9" s="164" t="s">
        <v>46</v>
      </c>
      <c r="S9" s="164" t="s">
        <v>47</v>
      </c>
      <c r="T9" s="164">
        <v>-5</v>
      </c>
      <c r="U9" s="164" t="s">
        <v>86</v>
      </c>
      <c r="V9" s="164"/>
      <c r="W9" s="164">
        <v>4</v>
      </c>
      <c r="X9" s="164">
        <v>1000</v>
      </c>
      <c r="Y9" s="164">
        <v>7</v>
      </c>
      <c r="Z9" s="165">
        <v>9</v>
      </c>
      <c r="AA9" s="166" t="s">
        <v>90</v>
      </c>
      <c r="AB9" s="222">
        <v>0.217</v>
      </c>
      <c r="AC9" s="40">
        <v>0.98</v>
      </c>
      <c r="AD9" s="40">
        <v>2.9</v>
      </c>
      <c r="AE9" s="196" t="s">
        <v>94</v>
      </c>
    </row>
    <row r="10" spans="1:31" s="97" customFormat="1" ht="44.25" customHeight="1" x14ac:dyDescent="0.25">
      <c r="A10" s="335">
        <v>41008</v>
      </c>
      <c r="B10" s="350" t="s">
        <v>749</v>
      </c>
      <c r="C10" s="21" t="s">
        <v>72</v>
      </c>
      <c r="D10" s="22">
        <v>7</v>
      </c>
      <c r="E10" s="7">
        <v>44</v>
      </c>
      <c r="F10" s="7">
        <v>24</v>
      </c>
      <c r="G10" s="7" t="s">
        <v>33</v>
      </c>
      <c r="H10" s="9" t="s">
        <v>74</v>
      </c>
      <c r="I10" s="7">
        <v>2</v>
      </c>
      <c r="J10" s="11" t="s">
        <v>37</v>
      </c>
      <c r="K10" s="23" t="s">
        <v>78</v>
      </c>
      <c r="L10" s="12" t="s">
        <v>81</v>
      </c>
      <c r="M10" s="12">
        <v>50</v>
      </c>
      <c r="N10" s="24"/>
      <c r="O10" s="12" t="s">
        <v>85</v>
      </c>
      <c r="P10" s="12"/>
      <c r="Q10" s="143" t="s">
        <v>67</v>
      </c>
      <c r="R10" s="143" t="s">
        <v>84</v>
      </c>
      <c r="S10" s="143" t="s">
        <v>47</v>
      </c>
      <c r="T10" s="143">
        <v>-4</v>
      </c>
      <c r="U10" s="143" t="s">
        <v>62</v>
      </c>
      <c r="V10" s="143">
        <v>1</v>
      </c>
      <c r="W10" s="143">
        <v>4</v>
      </c>
      <c r="X10" s="143">
        <v>1000</v>
      </c>
      <c r="Y10" s="143" t="s">
        <v>87</v>
      </c>
      <c r="Z10" s="154">
        <v>9</v>
      </c>
      <c r="AA10" s="145" t="s">
        <v>91</v>
      </c>
      <c r="AB10" s="219">
        <v>0.217</v>
      </c>
      <c r="AC10" s="25">
        <v>0.98</v>
      </c>
      <c r="AD10" s="25">
        <v>2.9</v>
      </c>
      <c r="AE10" s="192" t="s">
        <v>95</v>
      </c>
    </row>
    <row r="11" spans="1:31" s="76" customFormat="1" ht="44.25" customHeight="1" thickBot="1" x14ac:dyDescent="0.3">
      <c r="A11" s="333">
        <v>41008</v>
      </c>
      <c r="B11" s="350" t="s">
        <v>749</v>
      </c>
      <c r="C11" s="80" t="s">
        <v>73</v>
      </c>
      <c r="D11" s="86">
        <v>8</v>
      </c>
      <c r="E11" s="70">
        <v>45</v>
      </c>
      <c r="F11" s="70">
        <v>24</v>
      </c>
      <c r="G11" s="70" t="s">
        <v>33</v>
      </c>
      <c r="H11" s="71" t="s">
        <v>74</v>
      </c>
      <c r="I11" s="70">
        <v>2</v>
      </c>
      <c r="J11" s="82" t="s">
        <v>37</v>
      </c>
      <c r="K11" s="83" t="s">
        <v>79</v>
      </c>
      <c r="L11" s="84" t="s">
        <v>82</v>
      </c>
      <c r="M11" s="84">
        <v>50</v>
      </c>
      <c r="N11" s="73"/>
      <c r="O11" s="84">
        <v>8</v>
      </c>
      <c r="P11" s="84"/>
      <c r="Q11" s="158" t="s">
        <v>45</v>
      </c>
      <c r="R11" s="158" t="s">
        <v>84</v>
      </c>
      <c r="S11" s="158" t="s">
        <v>47</v>
      </c>
      <c r="T11" s="158">
        <v>-5</v>
      </c>
      <c r="U11" s="158" t="s">
        <v>62</v>
      </c>
      <c r="V11" s="158">
        <v>1</v>
      </c>
      <c r="W11" s="158">
        <v>4</v>
      </c>
      <c r="X11" s="158">
        <v>1000</v>
      </c>
      <c r="Y11" s="158" t="s">
        <v>87</v>
      </c>
      <c r="Z11" s="159">
        <v>7</v>
      </c>
      <c r="AA11" s="160" t="s">
        <v>91</v>
      </c>
      <c r="AB11" s="220">
        <v>0.217</v>
      </c>
      <c r="AC11" s="85">
        <v>0.98</v>
      </c>
      <c r="AD11" s="85">
        <v>2.9</v>
      </c>
      <c r="AE11" s="194" t="s">
        <v>96</v>
      </c>
    </row>
    <row r="12" spans="1:31" ht="44.25" customHeight="1" x14ac:dyDescent="0.25">
      <c r="A12" s="334">
        <v>41031</v>
      </c>
      <c r="B12" s="350" t="s">
        <v>750</v>
      </c>
      <c r="C12" s="15" t="s">
        <v>99</v>
      </c>
      <c r="D12" s="19">
        <v>9</v>
      </c>
      <c r="E12" s="52">
        <v>19</v>
      </c>
      <c r="F12" s="52">
        <v>19</v>
      </c>
      <c r="G12" s="34" t="s">
        <v>34</v>
      </c>
      <c r="H12" s="35" t="s">
        <v>74</v>
      </c>
      <c r="I12" s="52">
        <v>2</v>
      </c>
      <c r="J12" s="36" t="s">
        <v>37</v>
      </c>
      <c r="K12" s="37" t="s">
        <v>76</v>
      </c>
      <c r="L12" s="53">
        <v>6</v>
      </c>
      <c r="M12" s="53">
        <v>50</v>
      </c>
      <c r="N12" s="39"/>
      <c r="O12" s="53">
        <v>8</v>
      </c>
      <c r="P12" s="53" t="s">
        <v>62</v>
      </c>
      <c r="Q12" s="167" t="s">
        <v>67</v>
      </c>
      <c r="R12" s="167" t="s">
        <v>84</v>
      </c>
      <c r="S12" s="167" t="s">
        <v>47</v>
      </c>
      <c r="T12" s="167">
        <v>-4</v>
      </c>
      <c r="U12" s="167" t="s">
        <v>97</v>
      </c>
      <c r="V12" s="164">
        <v>1</v>
      </c>
      <c r="W12" s="167">
        <v>4</v>
      </c>
      <c r="X12" s="167">
        <v>1000</v>
      </c>
      <c r="Y12" s="167" t="s">
        <v>98</v>
      </c>
      <c r="Z12" s="168">
        <v>2</v>
      </c>
      <c r="AA12" s="166" t="s">
        <v>100</v>
      </c>
      <c r="AB12" s="216">
        <f>164.7/752.5</f>
        <v>0.21887043189368768</v>
      </c>
      <c r="AC12" s="54">
        <f>752.5/760</f>
        <v>0.99013157894736847</v>
      </c>
      <c r="AD12" s="54">
        <v>1.5</v>
      </c>
      <c r="AE12" s="196" t="s">
        <v>101</v>
      </c>
    </row>
    <row r="13" spans="1:31" s="98" customFormat="1" ht="44.25" customHeight="1" x14ac:dyDescent="0.25">
      <c r="A13" s="335">
        <v>41031</v>
      </c>
      <c r="B13" s="350" t="s">
        <v>750</v>
      </c>
      <c r="C13" s="13" t="s">
        <v>104</v>
      </c>
      <c r="D13" s="2">
        <v>10</v>
      </c>
      <c r="E13" s="3">
        <v>20</v>
      </c>
      <c r="F13" s="3">
        <v>19</v>
      </c>
      <c r="G13" s="7" t="s">
        <v>34</v>
      </c>
      <c r="H13" s="9" t="s">
        <v>74</v>
      </c>
      <c r="I13" s="3">
        <v>2</v>
      </c>
      <c r="J13" s="11" t="s">
        <v>37</v>
      </c>
      <c r="K13" s="23" t="s">
        <v>102</v>
      </c>
      <c r="L13" s="4" t="s">
        <v>103</v>
      </c>
      <c r="M13" s="4">
        <v>50</v>
      </c>
      <c r="N13" s="24"/>
      <c r="O13" s="4">
        <v>8</v>
      </c>
      <c r="P13" s="4" t="s">
        <v>62</v>
      </c>
      <c r="Q13" s="142" t="s">
        <v>67</v>
      </c>
      <c r="R13" s="142" t="s">
        <v>84</v>
      </c>
      <c r="S13" s="142" t="s">
        <v>47</v>
      </c>
      <c r="T13" s="142">
        <v>-4</v>
      </c>
      <c r="U13" s="142" t="s">
        <v>97</v>
      </c>
      <c r="V13" s="143">
        <v>1</v>
      </c>
      <c r="W13" s="142">
        <v>4</v>
      </c>
      <c r="X13" s="142">
        <v>1000</v>
      </c>
      <c r="Y13" s="142" t="s">
        <v>98</v>
      </c>
      <c r="Z13" s="144">
        <v>2</v>
      </c>
      <c r="AA13" s="145" t="s">
        <v>106</v>
      </c>
      <c r="AB13" s="216">
        <f>164.7/752.5</f>
        <v>0.21887043189368768</v>
      </c>
      <c r="AC13" s="5">
        <f>752.5/760</f>
        <v>0.99013157894736847</v>
      </c>
      <c r="AD13" s="5">
        <v>1.5</v>
      </c>
      <c r="AE13" s="192" t="s">
        <v>105</v>
      </c>
    </row>
    <row r="14" spans="1:31" s="75" customFormat="1" ht="44.25" customHeight="1" thickBot="1" x14ac:dyDescent="0.3">
      <c r="A14" s="333">
        <v>41031</v>
      </c>
      <c r="B14" s="350" t="s">
        <v>750</v>
      </c>
      <c r="C14" s="67" t="s">
        <v>110</v>
      </c>
      <c r="D14" s="68">
        <v>11</v>
      </c>
      <c r="E14" s="69">
        <v>21</v>
      </c>
      <c r="F14" s="69">
        <v>19</v>
      </c>
      <c r="G14" s="70" t="s">
        <v>34</v>
      </c>
      <c r="H14" s="71" t="s">
        <v>74</v>
      </c>
      <c r="I14" s="69">
        <v>2</v>
      </c>
      <c r="J14" s="82" t="s">
        <v>37</v>
      </c>
      <c r="K14" s="83" t="s">
        <v>108</v>
      </c>
      <c r="L14" s="72" t="s">
        <v>109</v>
      </c>
      <c r="M14" s="72">
        <v>50</v>
      </c>
      <c r="N14" s="73"/>
      <c r="O14" s="72">
        <v>8</v>
      </c>
      <c r="P14" s="72" t="s">
        <v>62</v>
      </c>
      <c r="Q14" s="169" t="s">
        <v>67</v>
      </c>
      <c r="R14" s="169" t="s">
        <v>84</v>
      </c>
      <c r="S14" s="169" t="s">
        <v>47</v>
      </c>
      <c r="T14" s="169">
        <v>-4</v>
      </c>
      <c r="U14" s="169" t="s">
        <v>97</v>
      </c>
      <c r="V14" s="158">
        <v>1</v>
      </c>
      <c r="W14" s="169">
        <v>4</v>
      </c>
      <c r="X14" s="169">
        <v>1000</v>
      </c>
      <c r="Y14" s="169" t="s">
        <v>98</v>
      </c>
      <c r="Z14" s="170">
        <v>2</v>
      </c>
      <c r="AA14" s="160" t="s">
        <v>107</v>
      </c>
      <c r="AB14" s="216">
        <f>164.7/752.5</f>
        <v>0.21887043189368768</v>
      </c>
      <c r="AC14" s="74">
        <f>752.5/760</f>
        <v>0.99013157894736847</v>
      </c>
      <c r="AD14" s="74">
        <v>1.5</v>
      </c>
      <c r="AE14" s="194" t="s">
        <v>111</v>
      </c>
    </row>
    <row r="15" spans="1:31" ht="44.25" customHeight="1" x14ac:dyDescent="0.2">
      <c r="A15" s="26">
        <v>41039</v>
      </c>
      <c r="B15" s="15" t="s">
        <v>751</v>
      </c>
      <c r="C15" s="15" t="s">
        <v>112</v>
      </c>
      <c r="D15" s="19">
        <v>12</v>
      </c>
      <c r="E15" s="52">
        <v>4</v>
      </c>
      <c r="F15" s="52">
        <v>12</v>
      </c>
      <c r="G15" s="40" t="s">
        <v>29</v>
      </c>
      <c r="H15" s="35" t="s">
        <v>30</v>
      </c>
      <c r="I15" s="52">
        <v>2</v>
      </c>
      <c r="J15" s="36" t="s">
        <v>37</v>
      </c>
      <c r="K15" s="37" t="s">
        <v>119</v>
      </c>
      <c r="L15" s="53">
        <v>22</v>
      </c>
      <c r="M15" s="53">
        <v>50</v>
      </c>
      <c r="N15" s="39" t="s">
        <v>120</v>
      </c>
      <c r="O15" s="53" t="s">
        <v>62</v>
      </c>
      <c r="P15" s="53" t="s">
        <v>62</v>
      </c>
      <c r="Q15" s="167" t="s">
        <v>45</v>
      </c>
      <c r="R15" s="167" t="s">
        <v>84</v>
      </c>
      <c r="S15" s="167" t="s">
        <v>121</v>
      </c>
      <c r="T15" s="167" t="s">
        <v>127</v>
      </c>
      <c r="U15" s="167" t="s">
        <v>62</v>
      </c>
      <c r="V15" s="171">
        <v>1</v>
      </c>
      <c r="W15" s="167" t="s">
        <v>122</v>
      </c>
      <c r="X15" s="167">
        <v>1000</v>
      </c>
      <c r="Y15" s="167" t="s">
        <v>98</v>
      </c>
      <c r="Z15" s="168">
        <v>5</v>
      </c>
      <c r="AA15" s="166" t="s">
        <v>123</v>
      </c>
      <c r="AB15" s="216">
        <f>161.7/747.6</f>
        <v>0.21629213483146065</v>
      </c>
      <c r="AC15" s="54">
        <f>747.6/760</f>
        <v>0.98368421052631583</v>
      </c>
      <c r="AD15" s="54">
        <v>1.51</v>
      </c>
      <c r="AE15" s="196" t="s">
        <v>427</v>
      </c>
    </row>
    <row r="16" spans="1:31" ht="44.25" customHeight="1" x14ac:dyDescent="0.2">
      <c r="A16" s="64">
        <v>41039</v>
      </c>
      <c r="B16" s="15" t="s">
        <v>751</v>
      </c>
      <c r="C16" s="55" t="s">
        <v>136</v>
      </c>
      <c r="D16" s="56">
        <v>13</v>
      </c>
      <c r="E16" s="57">
        <v>10</v>
      </c>
      <c r="F16" s="57">
        <v>2</v>
      </c>
      <c r="G16" s="259" t="s">
        <v>113</v>
      </c>
      <c r="H16" s="29" t="s">
        <v>30</v>
      </c>
      <c r="I16" s="57">
        <v>2</v>
      </c>
      <c r="J16" s="30" t="s">
        <v>37</v>
      </c>
      <c r="K16" s="114" t="s">
        <v>124</v>
      </c>
      <c r="L16" s="58">
        <v>11</v>
      </c>
      <c r="M16" s="58">
        <v>50</v>
      </c>
      <c r="N16" s="31" t="s">
        <v>125</v>
      </c>
      <c r="O16" s="58" t="s">
        <v>62</v>
      </c>
      <c r="P16" s="58" t="s">
        <v>62</v>
      </c>
      <c r="Q16" s="172" t="s">
        <v>45</v>
      </c>
      <c r="R16" s="172" t="s">
        <v>84</v>
      </c>
      <c r="S16" s="172" t="s">
        <v>121</v>
      </c>
      <c r="T16" s="172" t="s">
        <v>128</v>
      </c>
      <c r="U16" s="172" t="s">
        <v>62</v>
      </c>
      <c r="V16" s="173">
        <v>1</v>
      </c>
      <c r="W16" s="172" t="s">
        <v>122</v>
      </c>
      <c r="X16" s="172">
        <v>1000</v>
      </c>
      <c r="Y16" s="172" t="s">
        <v>98</v>
      </c>
      <c r="Z16" s="174">
        <v>5</v>
      </c>
      <c r="AA16" s="175" t="s">
        <v>126</v>
      </c>
      <c r="AB16" s="223">
        <f>161.7/747.6</f>
        <v>0.21629213483146065</v>
      </c>
      <c r="AC16" s="59">
        <f>747.6/760</f>
        <v>0.98368421052631583</v>
      </c>
      <c r="AD16" s="59">
        <v>2.5099999999999998</v>
      </c>
      <c r="AE16" s="197" t="s">
        <v>129</v>
      </c>
    </row>
    <row r="17" spans="1:31" s="63" customFormat="1" ht="44.25" customHeight="1" thickBot="1" x14ac:dyDescent="0.25">
      <c r="A17" s="65">
        <v>41039</v>
      </c>
      <c r="B17" s="15" t="s">
        <v>751</v>
      </c>
      <c r="C17" s="16" t="s">
        <v>137</v>
      </c>
      <c r="D17" s="17">
        <v>14</v>
      </c>
      <c r="E17" s="60">
        <v>12</v>
      </c>
      <c r="F17" s="60">
        <v>27</v>
      </c>
      <c r="G17" s="18" t="s">
        <v>114</v>
      </c>
      <c r="H17" s="41" t="s">
        <v>30</v>
      </c>
      <c r="I17" s="60">
        <v>2</v>
      </c>
      <c r="J17" s="41" t="s">
        <v>117</v>
      </c>
      <c r="K17" s="115" t="s">
        <v>130</v>
      </c>
      <c r="L17" s="61">
        <v>15</v>
      </c>
      <c r="M17" s="61" t="s">
        <v>131</v>
      </c>
      <c r="N17" s="42" t="s">
        <v>132</v>
      </c>
      <c r="O17" s="61" t="s">
        <v>62</v>
      </c>
      <c r="P17" s="61" t="s">
        <v>62</v>
      </c>
      <c r="Q17" s="176" t="s">
        <v>45</v>
      </c>
      <c r="R17" s="176" t="s">
        <v>84</v>
      </c>
      <c r="S17" s="176" t="s">
        <v>121</v>
      </c>
      <c r="T17" s="176" t="s">
        <v>133</v>
      </c>
      <c r="U17" s="176" t="s">
        <v>62</v>
      </c>
      <c r="V17" s="177">
        <v>1</v>
      </c>
      <c r="W17" s="176" t="s">
        <v>122</v>
      </c>
      <c r="X17" s="176">
        <v>1000</v>
      </c>
      <c r="Y17" s="176" t="s">
        <v>98</v>
      </c>
      <c r="Z17" s="178">
        <v>5</v>
      </c>
      <c r="AA17" s="179" t="s">
        <v>134</v>
      </c>
      <c r="AB17" s="224">
        <f>161.7/747.6</f>
        <v>0.21629213483146065</v>
      </c>
      <c r="AC17" s="62">
        <f>747.6/760</f>
        <v>0.98368421052631583</v>
      </c>
      <c r="AD17" s="62">
        <v>3.51</v>
      </c>
      <c r="AE17" s="198" t="s">
        <v>135</v>
      </c>
    </row>
    <row r="18" spans="1:31" ht="44.25" customHeight="1" x14ac:dyDescent="0.2">
      <c r="A18" s="26">
        <v>41040</v>
      </c>
      <c r="B18" s="15" t="s">
        <v>752</v>
      </c>
      <c r="C18" s="15" t="s">
        <v>138</v>
      </c>
      <c r="D18" s="19">
        <v>15</v>
      </c>
      <c r="E18" s="52">
        <v>54</v>
      </c>
      <c r="F18" s="52">
        <v>21</v>
      </c>
      <c r="G18" s="34" t="s">
        <v>115</v>
      </c>
      <c r="H18" s="35" t="s">
        <v>193</v>
      </c>
      <c r="I18" s="52">
        <v>2</v>
      </c>
      <c r="J18" s="35" t="s">
        <v>117</v>
      </c>
      <c r="K18" s="37" t="s">
        <v>143</v>
      </c>
      <c r="L18" s="53">
        <v>11</v>
      </c>
      <c r="M18" s="53">
        <v>50</v>
      </c>
      <c r="N18" s="39" t="s">
        <v>146</v>
      </c>
      <c r="O18" s="53" t="s">
        <v>141</v>
      </c>
      <c r="P18" s="53" t="s">
        <v>142</v>
      </c>
      <c r="Q18" s="167" t="s">
        <v>67</v>
      </c>
      <c r="R18" s="167" t="s">
        <v>84</v>
      </c>
      <c r="S18" s="167" t="s">
        <v>47</v>
      </c>
      <c r="T18" s="167">
        <v>-4</v>
      </c>
      <c r="U18" s="167" t="s">
        <v>62</v>
      </c>
      <c r="V18" s="164">
        <f>201/313</f>
        <v>0.64217252396166136</v>
      </c>
      <c r="W18" s="167" t="s">
        <v>139</v>
      </c>
      <c r="X18" s="167">
        <v>1000</v>
      </c>
      <c r="Y18" s="167" t="s">
        <v>98</v>
      </c>
      <c r="Z18" s="168">
        <v>3</v>
      </c>
      <c r="AA18" s="166" t="s">
        <v>167</v>
      </c>
      <c r="AB18" s="216">
        <v>0.217</v>
      </c>
      <c r="AC18" s="54">
        <v>0.98399999999999999</v>
      </c>
      <c r="AD18" s="54" t="s">
        <v>140</v>
      </c>
      <c r="AE18" s="196" t="s">
        <v>148</v>
      </c>
    </row>
    <row r="19" spans="1:31" ht="44.25" customHeight="1" x14ac:dyDescent="0.2">
      <c r="A19" s="6">
        <v>41040</v>
      </c>
      <c r="B19" s="15" t="s">
        <v>752</v>
      </c>
      <c r="C19" s="13" t="s">
        <v>147</v>
      </c>
      <c r="D19" s="2">
        <v>16</v>
      </c>
      <c r="E19" s="3">
        <v>55</v>
      </c>
      <c r="F19" s="3">
        <v>21</v>
      </c>
      <c r="G19" s="7" t="s">
        <v>115</v>
      </c>
      <c r="H19" s="9" t="s">
        <v>116</v>
      </c>
      <c r="I19" s="3">
        <v>2</v>
      </c>
      <c r="J19" s="9" t="s">
        <v>117</v>
      </c>
      <c r="K19" s="23" t="s">
        <v>145</v>
      </c>
      <c r="L19" s="4">
        <v>6.5</v>
      </c>
      <c r="M19" s="4">
        <v>50</v>
      </c>
      <c r="N19" s="24" t="s">
        <v>152</v>
      </c>
      <c r="O19" s="4">
        <v>8</v>
      </c>
      <c r="P19" s="4">
        <v>395</v>
      </c>
      <c r="Q19" s="142" t="s">
        <v>67</v>
      </c>
      <c r="R19" s="142" t="s">
        <v>84</v>
      </c>
      <c r="S19" s="142" t="s">
        <v>121</v>
      </c>
      <c r="T19" s="142" t="s">
        <v>144</v>
      </c>
      <c r="U19" s="142" t="s">
        <v>62</v>
      </c>
      <c r="V19" s="143">
        <f>233/339</f>
        <v>0.68731563421828912</v>
      </c>
      <c r="W19" s="142" t="s">
        <v>122</v>
      </c>
      <c r="X19" s="142">
        <v>1000</v>
      </c>
      <c r="Y19" s="142" t="s">
        <v>98</v>
      </c>
      <c r="Z19" s="144">
        <v>8</v>
      </c>
      <c r="AA19" s="145" t="s">
        <v>168</v>
      </c>
      <c r="AB19" s="225">
        <v>0.217</v>
      </c>
      <c r="AC19" s="5">
        <v>0.98399999999999999</v>
      </c>
      <c r="AD19" s="5" t="s">
        <v>140</v>
      </c>
      <c r="AE19" s="192" t="s">
        <v>172</v>
      </c>
    </row>
    <row r="20" spans="1:31" ht="44.25" customHeight="1" x14ac:dyDescent="0.2">
      <c r="A20" s="64">
        <v>41040</v>
      </c>
      <c r="B20" s="15" t="s">
        <v>752</v>
      </c>
      <c r="C20" s="55" t="s">
        <v>149</v>
      </c>
      <c r="D20" s="56">
        <v>17</v>
      </c>
      <c r="E20" s="57">
        <v>56</v>
      </c>
      <c r="F20" s="57">
        <v>21</v>
      </c>
      <c r="G20" s="28" t="s">
        <v>115</v>
      </c>
      <c r="H20" s="29" t="s">
        <v>116</v>
      </c>
      <c r="I20" s="57">
        <v>2</v>
      </c>
      <c r="J20" s="29" t="s">
        <v>117</v>
      </c>
      <c r="K20" s="114" t="s">
        <v>150</v>
      </c>
      <c r="L20" s="58" t="s">
        <v>162</v>
      </c>
      <c r="M20" s="58">
        <v>50</v>
      </c>
      <c r="N20" s="31" t="s">
        <v>161</v>
      </c>
      <c r="O20" s="58">
        <v>8</v>
      </c>
      <c r="P20" s="58" t="s">
        <v>62</v>
      </c>
      <c r="Q20" s="172" t="s">
        <v>67</v>
      </c>
      <c r="R20" s="172" t="s">
        <v>84</v>
      </c>
      <c r="S20" s="172" t="s">
        <v>121</v>
      </c>
      <c r="T20" s="172" t="s">
        <v>144</v>
      </c>
      <c r="U20" s="172" t="s">
        <v>62</v>
      </c>
      <c r="V20" s="173">
        <f>154/281</f>
        <v>0.54804270462633453</v>
      </c>
      <c r="W20" s="172" t="s">
        <v>122</v>
      </c>
      <c r="X20" s="172">
        <v>1000</v>
      </c>
      <c r="Y20" s="172" t="s">
        <v>98</v>
      </c>
      <c r="Z20" s="174">
        <v>4</v>
      </c>
      <c r="AA20" s="175" t="s">
        <v>151</v>
      </c>
      <c r="AB20" s="223">
        <v>0.217</v>
      </c>
      <c r="AC20" s="59">
        <v>0.98399999999999999</v>
      </c>
      <c r="AD20" s="59" t="s">
        <v>140</v>
      </c>
      <c r="AE20" s="197" t="s">
        <v>160</v>
      </c>
    </row>
    <row r="21" spans="1:31" s="2" customFormat="1" ht="44.25" customHeight="1" x14ac:dyDescent="0.2">
      <c r="A21" s="6">
        <v>41040</v>
      </c>
      <c r="B21" s="15" t="s">
        <v>752</v>
      </c>
      <c r="C21" s="13" t="s">
        <v>154</v>
      </c>
      <c r="D21" s="2">
        <v>18</v>
      </c>
      <c r="E21" s="3">
        <v>57</v>
      </c>
      <c r="F21" s="3">
        <v>21</v>
      </c>
      <c r="G21" s="7" t="s">
        <v>115</v>
      </c>
      <c r="H21" s="9" t="s">
        <v>116</v>
      </c>
      <c r="I21" s="3">
        <v>2</v>
      </c>
      <c r="J21" s="9" t="s">
        <v>117</v>
      </c>
      <c r="K21" s="23" t="s">
        <v>153</v>
      </c>
      <c r="L21" s="4" t="s">
        <v>156</v>
      </c>
      <c r="M21" s="4">
        <v>50</v>
      </c>
      <c r="N21" s="24" t="s">
        <v>157</v>
      </c>
      <c r="O21" s="4">
        <v>8</v>
      </c>
      <c r="P21" s="4" t="s">
        <v>62</v>
      </c>
      <c r="Q21" s="142" t="s">
        <v>45</v>
      </c>
      <c r="R21" s="142" t="s">
        <v>84</v>
      </c>
      <c r="S21" s="142" t="s">
        <v>121</v>
      </c>
      <c r="T21" s="142" t="s">
        <v>144</v>
      </c>
      <c r="U21" s="142" t="s">
        <v>62</v>
      </c>
      <c r="V21" s="143">
        <f>190/337</f>
        <v>0.56379821958456977</v>
      </c>
      <c r="W21" s="142" t="s">
        <v>122</v>
      </c>
      <c r="X21" s="142">
        <v>1000</v>
      </c>
      <c r="Y21" s="142" t="s">
        <v>98</v>
      </c>
      <c r="Z21" s="144">
        <v>9</v>
      </c>
      <c r="AA21" s="145" t="s">
        <v>155</v>
      </c>
      <c r="AB21" s="225">
        <v>0.217</v>
      </c>
      <c r="AC21" s="5">
        <v>0.98399999999999999</v>
      </c>
      <c r="AD21" s="5" t="s">
        <v>140</v>
      </c>
      <c r="AE21" s="192" t="s">
        <v>158</v>
      </c>
    </row>
    <row r="22" spans="1:31" s="75" customFormat="1" ht="44.25" customHeight="1" thickBot="1" x14ac:dyDescent="0.25">
      <c r="A22" s="66">
        <v>41040</v>
      </c>
      <c r="B22" s="15" t="s">
        <v>752</v>
      </c>
      <c r="C22" s="67" t="s">
        <v>164</v>
      </c>
      <c r="D22" s="68">
        <v>19</v>
      </c>
      <c r="E22" s="69">
        <v>110</v>
      </c>
      <c r="F22" s="69">
        <v>21</v>
      </c>
      <c r="G22" s="70" t="s">
        <v>115</v>
      </c>
      <c r="H22" s="47" t="s">
        <v>116</v>
      </c>
      <c r="I22" s="69">
        <v>2</v>
      </c>
      <c r="J22" s="71" t="s">
        <v>117</v>
      </c>
      <c r="K22" s="83" t="s">
        <v>163</v>
      </c>
      <c r="L22" s="72" t="s">
        <v>165</v>
      </c>
      <c r="M22" s="72">
        <v>50</v>
      </c>
      <c r="N22" s="73" t="s">
        <v>166</v>
      </c>
      <c r="O22" s="72">
        <v>8</v>
      </c>
      <c r="P22" s="72" t="s">
        <v>62</v>
      </c>
      <c r="Q22" s="169" t="s">
        <v>45</v>
      </c>
      <c r="R22" s="169" t="s">
        <v>84</v>
      </c>
      <c r="S22" s="169" t="s">
        <v>121</v>
      </c>
      <c r="T22" s="169" t="s">
        <v>144</v>
      </c>
      <c r="U22" s="169" t="s">
        <v>62</v>
      </c>
      <c r="V22" s="158">
        <f>103/173</f>
        <v>0.59537572254335258</v>
      </c>
      <c r="W22" s="169" t="s">
        <v>122</v>
      </c>
      <c r="X22" s="169">
        <v>1000</v>
      </c>
      <c r="Y22" s="169" t="s">
        <v>98</v>
      </c>
      <c r="Z22" s="170">
        <v>7</v>
      </c>
      <c r="AA22" s="160" t="s">
        <v>159</v>
      </c>
      <c r="AB22" s="226">
        <v>0.217</v>
      </c>
      <c r="AC22" s="74">
        <v>0.98399999999999999</v>
      </c>
      <c r="AD22" s="74" t="s">
        <v>140</v>
      </c>
      <c r="AE22" s="194" t="s">
        <v>309</v>
      </c>
    </row>
    <row r="23" spans="1:31" ht="44.25" customHeight="1" x14ac:dyDescent="0.2">
      <c r="A23" s="99">
        <v>41065</v>
      </c>
      <c r="B23" s="15" t="s">
        <v>753</v>
      </c>
      <c r="C23" s="15" t="s">
        <v>173</v>
      </c>
      <c r="D23" s="19">
        <v>20</v>
      </c>
      <c r="E23" s="52">
        <v>30</v>
      </c>
      <c r="F23" s="52">
        <v>15</v>
      </c>
      <c r="G23" s="34" t="s">
        <v>169</v>
      </c>
      <c r="H23" s="9" t="s">
        <v>171</v>
      </c>
      <c r="I23" s="52">
        <v>2</v>
      </c>
      <c r="J23" s="36" t="s">
        <v>117</v>
      </c>
      <c r="K23" s="37" t="s">
        <v>170</v>
      </c>
      <c r="L23" s="53">
        <v>5.5</v>
      </c>
      <c r="M23" s="53">
        <v>50</v>
      </c>
      <c r="N23" s="39"/>
      <c r="O23" s="53">
        <v>8</v>
      </c>
      <c r="P23" s="53" t="s">
        <v>62</v>
      </c>
      <c r="Q23" s="167" t="s">
        <v>67</v>
      </c>
      <c r="R23" s="167" t="s">
        <v>84</v>
      </c>
      <c r="S23" s="167" t="s">
        <v>121</v>
      </c>
      <c r="T23" s="167" t="s">
        <v>144</v>
      </c>
      <c r="U23" s="167" t="s">
        <v>62</v>
      </c>
      <c r="V23" s="164"/>
      <c r="W23" s="167" t="s">
        <v>122</v>
      </c>
      <c r="X23" s="167">
        <v>1000</v>
      </c>
      <c r="Y23" s="167" t="s">
        <v>98</v>
      </c>
      <c r="Z23" s="168">
        <v>6</v>
      </c>
      <c r="AA23" s="166" t="s">
        <v>174</v>
      </c>
      <c r="AB23" s="216">
        <f t="shared" ref="AB23:AB28" si="0">156.42/738.8</f>
        <v>0.21172171088251218</v>
      </c>
      <c r="AC23" s="54">
        <f t="shared" ref="AC23:AC28" si="1">738.8/760</f>
        <v>0.97210526315789469</v>
      </c>
      <c r="AD23" s="54">
        <v>2.62</v>
      </c>
      <c r="AE23" s="196" t="s">
        <v>179</v>
      </c>
    </row>
    <row r="24" spans="1:31" ht="44.25" customHeight="1" x14ac:dyDescent="0.2">
      <c r="A24" s="100">
        <v>41065</v>
      </c>
      <c r="B24" s="15" t="s">
        <v>753</v>
      </c>
      <c r="C24" s="13" t="s">
        <v>175</v>
      </c>
      <c r="D24" s="2">
        <v>21</v>
      </c>
      <c r="E24" s="3">
        <v>31</v>
      </c>
      <c r="F24" s="3">
        <v>15</v>
      </c>
      <c r="G24" s="7" t="s">
        <v>169</v>
      </c>
      <c r="H24" s="9" t="s">
        <v>171</v>
      </c>
      <c r="I24" s="3">
        <v>2</v>
      </c>
      <c r="J24" s="11" t="s">
        <v>117</v>
      </c>
      <c r="K24" s="23" t="s">
        <v>145</v>
      </c>
      <c r="L24" s="4" t="s">
        <v>176</v>
      </c>
      <c r="M24" s="4">
        <v>50</v>
      </c>
      <c r="N24" s="24"/>
      <c r="O24" s="4">
        <v>8</v>
      </c>
      <c r="P24" s="4" t="s">
        <v>62</v>
      </c>
      <c r="Q24" s="142" t="s">
        <v>67</v>
      </c>
      <c r="R24" s="142" t="s">
        <v>84</v>
      </c>
      <c r="S24" s="142" t="s">
        <v>177</v>
      </c>
      <c r="T24" s="142">
        <v>-4</v>
      </c>
      <c r="U24" s="142" t="s">
        <v>62</v>
      </c>
      <c r="V24" s="143">
        <v>1</v>
      </c>
      <c r="W24" s="142" t="s">
        <v>139</v>
      </c>
      <c r="X24" s="142">
        <v>1000</v>
      </c>
      <c r="Y24" s="142" t="s">
        <v>98</v>
      </c>
      <c r="Z24" s="144">
        <v>6</v>
      </c>
      <c r="AA24" s="145" t="s">
        <v>178</v>
      </c>
      <c r="AB24" s="216">
        <f t="shared" si="0"/>
        <v>0.21172171088251218</v>
      </c>
      <c r="AC24" s="54">
        <f t="shared" si="1"/>
        <v>0.97210526315789469</v>
      </c>
      <c r="AD24" s="54">
        <v>2.62</v>
      </c>
      <c r="AE24" s="192" t="s">
        <v>180</v>
      </c>
    </row>
    <row r="25" spans="1:31" ht="44.25" customHeight="1" x14ac:dyDescent="0.2">
      <c r="A25" s="100">
        <v>41065</v>
      </c>
      <c r="B25" s="15" t="s">
        <v>753</v>
      </c>
      <c r="C25" s="13" t="s">
        <v>182</v>
      </c>
      <c r="D25" s="2">
        <v>22</v>
      </c>
      <c r="E25" s="3">
        <v>32</v>
      </c>
      <c r="F25" s="3">
        <v>15</v>
      </c>
      <c r="G25" s="7" t="s">
        <v>169</v>
      </c>
      <c r="H25" s="9" t="s">
        <v>171</v>
      </c>
      <c r="I25" s="3">
        <v>2</v>
      </c>
      <c r="J25" s="11" t="s">
        <v>117</v>
      </c>
      <c r="K25" s="23" t="s">
        <v>153</v>
      </c>
      <c r="L25" s="4" t="s">
        <v>185</v>
      </c>
      <c r="M25" s="4">
        <v>50</v>
      </c>
      <c r="N25" s="24"/>
      <c r="O25" s="4">
        <v>8</v>
      </c>
      <c r="P25" s="4" t="s">
        <v>62</v>
      </c>
      <c r="Q25" s="142" t="s">
        <v>67</v>
      </c>
      <c r="R25" s="142" t="s">
        <v>84</v>
      </c>
      <c r="S25" s="142" t="s">
        <v>177</v>
      </c>
      <c r="T25" s="142">
        <v>-4</v>
      </c>
      <c r="U25" s="142" t="s">
        <v>62</v>
      </c>
      <c r="V25" s="143">
        <v>1</v>
      </c>
      <c r="W25" s="142" t="s">
        <v>139</v>
      </c>
      <c r="X25" s="142">
        <v>1000</v>
      </c>
      <c r="Y25" s="142" t="s">
        <v>98</v>
      </c>
      <c r="Z25" s="144">
        <v>7</v>
      </c>
      <c r="AA25" s="145" t="s">
        <v>181</v>
      </c>
      <c r="AB25" s="216">
        <f t="shared" si="0"/>
        <v>0.21172171088251218</v>
      </c>
      <c r="AC25" s="54">
        <f t="shared" si="1"/>
        <v>0.97210526315789469</v>
      </c>
      <c r="AD25" s="54">
        <v>2.62</v>
      </c>
      <c r="AE25" s="192" t="s">
        <v>183</v>
      </c>
    </row>
    <row r="26" spans="1:31" ht="44.25" customHeight="1" x14ac:dyDescent="0.2">
      <c r="A26" s="100">
        <v>41065</v>
      </c>
      <c r="B26" s="15" t="s">
        <v>753</v>
      </c>
      <c r="C26" s="55" t="s">
        <v>184</v>
      </c>
      <c r="D26" s="56">
        <v>23</v>
      </c>
      <c r="E26" s="57">
        <v>33</v>
      </c>
      <c r="F26" s="57">
        <v>15</v>
      </c>
      <c r="G26" s="28" t="s">
        <v>169</v>
      </c>
      <c r="H26" s="29" t="s">
        <v>194</v>
      </c>
      <c r="I26" s="57">
        <v>2</v>
      </c>
      <c r="J26" s="30" t="s">
        <v>117</v>
      </c>
      <c r="K26" s="114" t="s">
        <v>186</v>
      </c>
      <c r="L26" s="58" t="s">
        <v>185</v>
      </c>
      <c r="M26" s="58">
        <v>50</v>
      </c>
      <c r="N26" s="31"/>
      <c r="O26" s="58">
        <v>8</v>
      </c>
      <c r="P26" s="58" t="s">
        <v>62</v>
      </c>
      <c r="Q26" s="172" t="s">
        <v>67</v>
      </c>
      <c r="R26" s="172" t="s">
        <v>84</v>
      </c>
      <c r="S26" s="172" t="s">
        <v>47</v>
      </c>
      <c r="T26" s="172">
        <v>-4</v>
      </c>
      <c r="U26" s="172" t="s">
        <v>62</v>
      </c>
      <c r="V26" s="173">
        <v>1</v>
      </c>
      <c r="W26" s="172" t="s">
        <v>139</v>
      </c>
      <c r="X26" s="172">
        <v>1000</v>
      </c>
      <c r="Y26" s="172" t="s">
        <v>98</v>
      </c>
      <c r="Z26" s="174">
        <v>7</v>
      </c>
      <c r="AA26" s="175" t="s">
        <v>201</v>
      </c>
      <c r="AB26" s="227">
        <f t="shared" si="0"/>
        <v>0.21172171088251218</v>
      </c>
      <c r="AC26" s="103">
        <f t="shared" si="1"/>
        <v>0.97210526315789469</v>
      </c>
      <c r="AD26" s="103">
        <v>2.62</v>
      </c>
      <c r="AE26" s="197" t="s">
        <v>192</v>
      </c>
    </row>
    <row r="27" spans="1:31" ht="44.25" customHeight="1" x14ac:dyDescent="0.2">
      <c r="A27" s="102">
        <v>41065</v>
      </c>
      <c r="B27" s="15" t="s">
        <v>753</v>
      </c>
      <c r="C27" s="105" t="s">
        <v>199</v>
      </c>
      <c r="D27" s="106">
        <v>24</v>
      </c>
      <c r="E27" s="107" t="s">
        <v>195</v>
      </c>
      <c r="F27" s="107">
        <v>27</v>
      </c>
      <c r="G27" s="260" t="s">
        <v>114</v>
      </c>
      <c r="H27" s="108" t="s">
        <v>196</v>
      </c>
      <c r="I27" s="107">
        <v>2</v>
      </c>
      <c r="J27" s="109" t="s">
        <v>37</v>
      </c>
      <c r="K27" s="116" t="s">
        <v>197</v>
      </c>
      <c r="L27" s="110">
        <v>9</v>
      </c>
      <c r="M27" s="110">
        <v>50</v>
      </c>
      <c r="N27" s="111"/>
      <c r="O27" s="110">
        <v>8</v>
      </c>
      <c r="P27" s="110" t="s">
        <v>62</v>
      </c>
      <c r="Q27" s="180" t="s">
        <v>45</v>
      </c>
      <c r="R27" s="180" t="s">
        <v>84</v>
      </c>
      <c r="S27" s="180" t="s">
        <v>47</v>
      </c>
      <c r="T27" s="180">
        <v>-4</v>
      </c>
      <c r="U27" s="180" t="s">
        <v>62</v>
      </c>
      <c r="V27" s="181">
        <v>1</v>
      </c>
      <c r="W27" s="180" t="s">
        <v>139</v>
      </c>
      <c r="X27" s="180">
        <v>1000</v>
      </c>
      <c r="Y27" s="180" t="s">
        <v>98</v>
      </c>
      <c r="Z27" s="182">
        <v>3</v>
      </c>
      <c r="AA27" s="183"/>
      <c r="AB27" s="228">
        <f t="shared" si="0"/>
        <v>0.21172171088251218</v>
      </c>
      <c r="AC27" s="112">
        <f t="shared" si="1"/>
        <v>0.97210526315789469</v>
      </c>
      <c r="AD27" s="112">
        <v>2.62</v>
      </c>
      <c r="AE27" s="199" t="s">
        <v>198</v>
      </c>
    </row>
    <row r="28" spans="1:31" ht="44.25" customHeight="1" thickBot="1" x14ac:dyDescent="0.25">
      <c r="A28" s="102">
        <v>41065</v>
      </c>
      <c r="B28" s="15" t="s">
        <v>753</v>
      </c>
      <c r="C28" s="104" t="s">
        <v>202</v>
      </c>
      <c r="D28" s="68">
        <v>24</v>
      </c>
      <c r="E28" s="69" t="s">
        <v>200</v>
      </c>
      <c r="F28" s="69">
        <v>27</v>
      </c>
      <c r="G28" s="261" t="s">
        <v>114</v>
      </c>
      <c r="H28" s="71" t="s">
        <v>196</v>
      </c>
      <c r="I28" s="69">
        <v>2</v>
      </c>
      <c r="J28" s="82" t="s">
        <v>37</v>
      </c>
      <c r="K28" s="83" t="s">
        <v>197</v>
      </c>
      <c r="L28" s="72">
        <v>9</v>
      </c>
      <c r="M28" s="72">
        <v>50</v>
      </c>
      <c r="N28" s="73"/>
      <c r="O28" s="72">
        <v>8</v>
      </c>
      <c r="P28" s="72" t="s">
        <v>62</v>
      </c>
      <c r="Q28" s="169" t="s">
        <v>45</v>
      </c>
      <c r="R28" s="169" t="s">
        <v>84</v>
      </c>
      <c r="S28" s="169" t="s">
        <v>47</v>
      </c>
      <c r="T28" s="169">
        <v>-4</v>
      </c>
      <c r="U28" s="169" t="s">
        <v>62</v>
      </c>
      <c r="V28" s="158">
        <v>1</v>
      </c>
      <c r="W28" s="169" t="s">
        <v>139</v>
      </c>
      <c r="X28" s="169">
        <v>1000</v>
      </c>
      <c r="Y28" s="169" t="s">
        <v>98</v>
      </c>
      <c r="Z28" s="170">
        <v>3</v>
      </c>
      <c r="AA28" s="160"/>
      <c r="AB28" s="226">
        <f t="shared" si="0"/>
        <v>0.21172171088251218</v>
      </c>
      <c r="AC28" s="74">
        <f t="shared" si="1"/>
        <v>0.97210526315789469</v>
      </c>
      <c r="AD28" s="74">
        <v>2.62</v>
      </c>
      <c r="AE28" s="194" t="s">
        <v>203</v>
      </c>
    </row>
    <row r="29" spans="1:31" ht="44.25" customHeight="1" x14ac:dyDescent="0.2">
      <c r="A29" s="100">
        <v>41071</v>
      </c>
      <c r="B29" s="15" t="s">
        <v>754</v>
      </c>
      <c r="C29" s="15" t="s">
        <v>215</v>
      </c>
      <c r="D29" s="19">
        <v>25</v>
      </c>
      <c r="E29" s="52">
        <v>46</v>
      </c>
      <c r="F29" s="52">
        <v>22</v>
      </c>
      <c r="G29" s="34" t="s">
        <v>204</v>
      </c>
      <c r="H29" s="35" t="s">
        <v>187</v>
      </c>
      <c r="I29" s="52">
        <v>2</v>
      </c>
      <c r="J29" s="36" t="s">
        <v>205</v>
      </c>
      <c r="K29" s="37" t="s">
        <v>206</v>
      </c>
      <c r="L29" s="53" t="s">
        <v>207</v>
      </c>
      <c r="M29" s="53">
        <v>50</v>
      </c>
      <c r="N29" s="39"/>
      <c r="O29" s="53" t="s">
        <v>141</v>
      </c>
      <c r="P29" s="53"/>
      <c r="Q29" s="167" t="s">
        <v>67</v>
      </c>
      <c r="R29" s="167" t="s">
        <v>84</v>
      </c>
      <c r="S29" s="167" t="s">
        <v>47</v>
      </c>
      <c r="T29" s="167">
        <v>-4</v>
      </c>
      <c r="U29" s="167" t="s">
        <v>62</v>
      </c>
      <c r="V29" s="164">
        <v>1</v>
      </c>
      <c r="W29" s="167" t="s">
        <v>139</v>
      </c>
      <c r="X29" s="167">
        <v>1000</v>
      </c>
      <c r="Y29" s="167" t="s">
        <v>98</v>
      </c>
      <c r="Z29" s="168">
        <v>5</v>
      </c>
      <c r="AA29" s="166" t="s">
        <v>212</v>
      </c>
      <c r="AB29" s="216">
        <f>158.73/749.29</f>
        <v>0.21184054238011985</v>
      </c>
      <c r="AC29" s="54">
        <f>749.29/760</f>
        <v>0.98590789473684204</v>
      </c>
      <c r="AD29" s="54">
        <v>2.73</v>
      </c>
      <c r="AE29" s="196" t="s">
        <v>216</v>
      </c>
    </row>
    <row r="30" spans="1:31" ht="44.25" customHeight="1" x14ac:dyDescent="0.2">
      <c r="A30" s="100">
        <v>41071</v>
      </c>
      <c r="B30" s="15" t="s">
        <v>754</v>
      </c>
      <c r="C30" s="13" t="s">
        <v>218</v>
      </c>
      <c r="D30" s="2">
        <v>26</v>
      </c>
      <c r="E30" s="3">
        <v>47</v>
      </c>
      <c r="F30" s="3">
        <v>22</v>
      </c>
      <c r="G30" s="7" t="s">
        <v>204</v>
      </c>
      <c r="H30" s="9" t="s">
        <v>187</v>
      </c>
      <c r="I30" s="3">
        <v>2</v>
      </c>
      <c r="J30" s="11" t="s">
        <v>208</v>
      </c>
      <c r="K30" s="23" t="s">
        <v>213</v>
      </c>
      <c r="L30" s="4" t="s">
        <v>219</v>
      </c>
      <c r="M30" s="4">
        <v>50</v>
      </c>
      <c r="N30" s="24"/>
      <c r="O30" s="4">
        <v>10</v>
      </c>
      <c r="P30" s="4"/>
      <c r="Q30" s="142" t="s">
        <v>67</v>
      </c>
      <c r="R30" s="142" t="s">
        <v>84</v>
      </c>
      <c r="S30" s="142" t="s">
        <v>47</v>
      </c>
      <c r="T30" s="142">
        <v>-4</v>
      </c>
      <c r="U30" s="142" t="s">
        <v>62</v>
      </c>
      <c r="V30" s="143">
        <v>1</v>
      </c>
      <c r="W30" s="142" t="s">
        <v>139</v>
      </c>
      <c r="X30" s="142">
        <v>1000</v>
      </c>
      <c r="Y30" s="142" t="s">
        <v>98</v>
      </c>
      <c r="Z30" s="144">
        <v>2</v>
      </c>
      <c r="AA30" s="145" t="s">
        <v>209</v>
      </c>
      <c r="AB30" s="216">
        <f>158.73/749.29</f>
        <v>0.21184054238011985</v>
      </c>
      <c r="AC30" s="54">
        <f>749.29/760</f>
        <v>0.98590789473684204</v>
      </c>
      <c r="AD30" s="54">
        <v>2.73</v>
      </c>
      <c r="AE30" s="192" t="s">
        <v>217</v>
      </c>
    </row>
    <row r="31" spans="1:31" ht="44.25" customHeight="1" x14ac:dyDescent="0.2">
      <c r="A31" s="100">
        <v>41071</v>
      </c>
      <c r="B31" s="15" t="s">
        <v>754</v>
      </c>
      <c r="C31" s="13" t="s">
        <v>221</v>
      </c>
      <c r="D31" s="2">
        <v>27</v>
      </c>
      <c r="E31" s="3">
        <v>48</v>
      </c>
      <c r="F31" s="3">
        <v>22</v>
      </c>
      <c r="G31" s="7" t="s">
        <v>204</v>
      </c>
      <c r="H31" s="9" t="s">
        <v>187</v>
      </c>
      <c r="I31" s="3">
        <v>2</v>
      </c>
      <c r="J31" s="11" t="s">
        <v>208</v>
      </c>
      <c r="K31" s="23" t="s">
        <v>214</v>
      </c>
      <c r="L31" s="4" t="s">
        <v>219</v>
      </c>
      <c r="M31" s="4">
        <v>50</v>
      </c>
      <c r="N31" s="24"/>
      <c r="O31" s="4">
        <v>8</v>
      </c>
      <c r="P31" s="4" t="s">
        <v>62</v>
      </c>
      <c r="Q31" s="142" t="s">
        <v>67</v>
      </c>
      <c r="R31" s="142" t="s">
        <v>84</v>
      </c>
      <c r="S31" s="142" t="s">
        <v>47</v>
      </c>
      <c r="T31" s="142">
        <v>-4</v>
      </c>
      <c r="U31" s="142" t="s">
        <v>62</v>
      </c>
      <c r="V31" s="143">
        <v>1</v>
      </c>
      <c r="W31" s="142" t="s">
        <v>139</v>
      </c>
      <c r="X31" s="142">
        <v>1000</v>
      </c>
      <c r="Y31" s="142" t="s">
        <v>98</v>
      </c>
      <c r="Z31" s="144">
        <v>4</v>
      </c>
      <c r="AA31" s="145" t="s">
        <v>210</v>
      </c>
      <c r="AB31" s="216">
        <f>158.73/749.29</f>
        <v>0.21184054238011985</v>
      </c>
      <c r="AC31" s="54">
        <f>749.29/760</f>
        <v>0.98590789473684204</v>
      </c>
      <c r="AD31" s="54">
        <v>2.73</v>
      </c>
      <c r="AE31" s="192" t="s">
        <v>220</v>
      </c>
    </row>
    <row r="32" spans="1:31" s="75" customFormat="1" ht="44.25" customHeight="1" thickBot="1" x14ac:dyDescent="0.25">
      <c r="A32" s="117">
        <v>41071</v>
      </c>
      <c r="B32" s="15" t="s">
        <v>754</v>
      </c>
      <c r="C32" s="118" t="s">
        <v>223</v>
      </c>
      <c r="D32" s="119">
        <v>28</v>
      </c>
      <c r="E32" s="120">
        <v>49</v>
      </c>
      <c r="F32" s="120">
        <v>22</v>
      </c>
      <c r="G32" s="121" t="s">
        <v>204</v>
      </c>
      <c r="H32" s="122" t="s">
        <v>187</v>
      </c>
      <c r="I32" s="120">
        <v>2</v>
      </c>
      <c r="J32" s="123" t="s">
        <v>208</v>
      </c>
      <c r="K32" s="124" t="s">
        <v>214</v>
      </c>
      <c r="L32" s="125" t="s">
        <v>219</v>
      </c>
      <c r="M32" s="125">
        <v>50</v>
      </c>
      <c r="N32" s="126"/>
      <c r="O32" s="125">
        <v>8</v>
      </c>
      <c r="P32" s="125" t="s">
        <v>62</v>
      </c>
      <c r="Q32" s="184" t="s">
        <v>67</v>
      </c>
      <c r="R32" s="184" t="s">
        <v>84</v>
      </c>
      <c r="S32" s="184" t="s">
        <v>47</v>
      </c>
      <c r="T32" s="184">
        <v>-4</v>
      </c>
      <c r="U32" s="185" t="s">
        <v>62</v>
      </c>
      <c r="V32" s="186">
        <v>1</v>
      </c>
      <c r="W32" s="184" t="s">
        <v>139</v>
      </c>
      <c r="X32" s="184">
        <v>1000</v>
      </c>
      <c r="Y32" s="184" t="s">
        <v>98</v>
      </c>
      <c r="Z32" s="187">
        <v>4</v>
      </c>
      <c r="AA32" s="188" t="s">
        <v>211</v>
      </c>
      <c r="AB32" s="217">
        <f>158.73/749.29</f>
        <v>0.21184054238011985</v>
      </c>
      <c r="AC32" s="127">
        <f>749.29/760</f>
        <v>0.98590789473684204</v>
      </c>
      <c r="AD32" s="128">
        <v>2.73</v>
      </c>
      <c r="AE32" s="200" t="s">
        <v>222</v>
      </c>
    </row>
    <row r="33" spans="1:31" ht="44.25" customHeight="1" x14ac:dyDescent="0.2">
      <c r="A33" s="99">
        <v>41074</v>
      </c>
      <c r="B33" s="15" t="s">
        <v>755</v>
      </c>
      <c r="C33" s="15" t="s">
        <v>229</v>
      </c>
      <c r="D33" s="19">
        <v>29</v>
      </c>
      <c r="E33" s="52">
        <v>22</v>
      </c>
      <c r="F33" s="52">
        <v>18</v>
      </c>
      <c r="G33" s="34" t="s">
        <v>224</v>
      </c>
      <c r="H33" s="35" t="s">
        <v>187</v>
      </c>
      <c r="I33" s="52">
        <v>2</v>
      </c>
      <c r="J33" s="36" t="s">
        <v>225</v>
      </c>
      <c r="K33" s="37" t="s">
        <v>227</v>
      </c>
      <c r="L33" s="53" t="s">
        <v>228</v>
      </c>
      <c r="M33" s="53">
        <v>50</v>
      </c>
      <c r="N33" s="39"/>
      <c r="O33" s="53">
        <v>8</v>
      </c>
      <c r="P33" s="53" t="s">
        <v>62</v>
      </c>
      <c r="Q33" s="189" t="s">
        <v>67</v>
      </c>
      <c r="R33" s="189" t="s">
        <v>84</v>
      </c>
      <c r="S33" s="189" t="s">
        <v>47</v>
      </c>
      <c r="T33" s="189">
        <v>-4</v>
      </c>
      <c r="U33" s="189" t="s">
        <v>62</v>
      </c>
      <c r="V33" s="161">
        <v>1</v>
      </c>
      <c r="W33" s="189" t="s">
        <v>139</v>
      </c>
      <c r="X33" s="189">
        <v>1000</v>
      </c>
      <c r="Y33" s="189" t="s">
        <v>98</v>
      </c>
      <c r="Z33" s="190">
        <v>8</v>
      </c>
      <c r="AA33" s="166" t="s">
        <v>226</v>
      </c>
      <c r="AB33" s="216">
        <f>156.86/750.9</f>
        <v>0.20889599147689442</v>
      </c>
      <c r="AC33" s="54">
        <f>750.9/760</f>
        <v>0.98802631578947364</v>
      </c>
      <c r="AD33" s="54">
        <v>2.6</v>
      </c>
      <c r="AE33" s="196" t="s">
        <v>241</v>
      </c>
    </row>
    <row r="34" spans="1:31" ht="44.25" customHeight="1" x14ac:dyDescent="0.2">
      <c r="A34" s="100">
        <v>41074</v>
      </c>
      <c r="B34" s="15" t="s">
        <v>755</v>
      </c>
      <c r="C34" s="13" t="s">
        <v>233</v>
      </c>
      <c r="D34" s="2">
        <v>30</v>
      </c>
      <c r="E34" s="3">
        <v>23</v>
      </c>
      <c r="F34" s="3">
        <v>18</v>
      </c>
      <c r="G34" s="7" t="s">
        <v>224</v>
      </c>
      <c r="H34" s="9" t="s">
        <v>187</v>
      </c>
      <c r="I34" s="3">
        <v>2</v>
      </c>
      <c r="J34" s="36" t="s">
        <v>225</v>
      </c>
      <c r="K34" s="23" t="s">
        <v>214</v>
      </c>
      <c r="L34" s="4" t="s">
        <v>230</v>
      </c>
      <c r="M34" s="4">
        <v>50</v>
      </c>
      <c r="N34" s="24"/>
      <c r="O34" s="4">
        <v>8</v>
      </c>
      <c r="P34" s="4" t="s">
        <v>62</v>
      </c>
      <c r="Q34" s="142" t="s">
        <v>67</v>
      </c>
      <c r="R34" s="142" t="s">
        <v>84</v>
      </c>
      <c r="S34" s="142" t="s">
        <v>47</v>
      </c>
      <c r="T34" s="142">
        <v>-4</v>
      </c>
      <c r="U34" s="142" t="s">
        <v>62</v>
      </c>
      <c r="V34" s="143">
        <v>1</v>
      </c>
      <c r="W34" s="142" t="s">
        <v>139</v>
      </c>
      <c r="X34" s="142">
        <v>1000</v>
      </c>
      <c r="Y34" s="142" t="s">
        <v>98</v>
      </c>
      <c r="Z34" s="144">
        <v>8</v>
      </c>
      <c r="AA34" s="145" t="s">
        <v>232</v>
      </c>
      <c r="AB34" s="216">
        <f>156.86/750.9</f>
        <v>0.20889599147689442</v>
      </c>
      <c r="AC34" s="54">
        <f>750.9/760</f>
        <v>0.98802631578947364</v>
      </c>
      <c r="AD34" s="54">
        <v>2.6</v>
      </c>
      <c r="AE34" s="192" t="s">
        <v>231</v>
      </c>
    </row>
    <row r="35" spans="1:31" ht="44.25" customHeight="1" x14ac:dyDescent="0.2">
      <c r="A35" s="100">
        <v>41074</v>
      </c>
      <c r="B35" s="15" t="s">
        <v>755</v>
      </c>
      <c r="C35" s="13" t="s">
        <v>234</v>
      </c>
      <c r="D35" s="2">
        <v>31</v>
      </c>
      <c r="E35" s="3">
        <v>24</v>
      </c>
      <c r="F35" s="3">
        <v>18</v>
      </c>
      <c r="G35" s="7" t="s">
        <v>224</v>
      </c>
      <c r="H35" s="9" t="s">
        <v>187</v>
      </c>
      <c r="I35" s="3">
        <v>2</v>
      </c>
      <c r="J35" s="36" t="s">
        <v>225</v>
      </c>
      <c r="K35" s="23" t="s">
        <v>227</v>
      </c>
      <c r="L35" s="4" t="s">
        <v>230</v>
      </c>
      <c r="M35" s="4">
        <v>50</v>
      </c>
      <c r="N35" s="24"/>
      <c r="O35" s="4">
        <v>10</v>
      </c>
      <c r="P35" s="4"/>
      <c r="Q35" s="142" t="s">
        <v>67</v>
      </c>
      <c r="R35" s="142" t="s">
        <v>84</v>
      </c>
      <c r="S35" s="142" t="s">
        <v>47</v>
      </c>
      <c r="T35" s="142">
        <v>-4</v>
      </c>
      <c r="U35" s="142" t="s">
        <v>62</v>
      </c>
      <c r="V35" s="143">
        <v>1</v>
      </c>
      <c r="W35" s="142" t="s">
        <v>139</v>
      </c>
      <c r="X35" s="142">
        <v>1000</v>
      </c>
      <c r="Y35" s="142" t="s">
        <v>98</v>
      </c>
      <c r="Z35" s="144">
        <v>9</v>
      </c>
      <c r="AA35" s="145" t="s">
        <v>239</v>
      </c>
      <c r="AB35" s="216">
        <f>156.86/750.9</f>
        <v>0.20889599147689442</v>
      </c>
      <c r="AC35" s="54">
        <f>750.9/760</f>
        <v>0.98802631578947364</v>
      </c>
      <c r="AD35" s="54">
        <v>2.6</v>
      </c>
      <c r="AE35" s="192" t="s">
        <v>237</v>
      </c>
    </row>
    <row r="36" spans="1:31" ht="44.25" customHeight="1" thickBot="1" x14ac:dyDescent="0.25">
      <c r="A36" s="117">
        <v>41074</v>
      </c>
      <c r="B36" s="15" t="s">
        <v>755</v>
      </c>
      <c r="C36" s="118" t="s">
        <v>238</v>
      </c>
      <c r="D36" s="119">
        <v>32</v>
      </c>
      <c r="E36" s="120">
        <v>25</v>
      </c>
      <c r="F36" s="120">
        <v>18</v>
      </c>
      <c r="G36" s="121" t="s">
        <v>224</v>
      </c>
      <c r="H36" s="122" t="s">
        <v>187</v>
      </c>
      <c r="I36" s="120">
        <v>2</v>
      </c>
      <c r="J36" s="123" t="s">
        <v>225</v>
      </c>
      <c r="K36" s="124" t="s">
        <v>235</v>
      </c>
      <c r="L36" s="125">
        <v>4</v>
      </c>
      <c r="M36" s="125">
        <v>50</v>
      </c>
      <c r="N36" s="126"/>
      <c r="O36" s="125">
        <v>10</v>
      </c>
      <c r="P36" s="125" t="s">
        <v>62</v>
      </c>
      <c r="Q36" s="184" t="s">
        <v>67</v>
      </c>
      <c r="R36" s="184" t="s">
        <v>84</v>
      </c>
      <c r="S36" s="184" t="s">
        <v>47</v>
      </c>
      <c r="T36" s="184">
        <v>-4</v>
      </c>
      <c r="U36" s="184" t="s">
        <v>62</v>
      </c>
      <c r="V36" s="186">
        <v>1</v>
      </c>
      <c r="W36" s="184" t="s">
        <v>139</v>
      </c>
      <c r="X36" s="185">
        <v>1000</v>
      </c>
      <c r="Y36" s="184" t="s">
        <v>98</v>
      </c>
      <c r="Z36" s="187">
        <v>9</v>
      </c>
      <c r="AA36" s="188" t="s">
        <v>236</v>
      </c>
      <c r="AB36" s="217">
        <f>156.86/750.9</f>
        <v>0.20889599147689442</v>
      </c>
      <c r="AC36" s="127">
        <f>750.9/760</f>
        <v>0.98802631578947364</v>
      </c>
      <c r="AD36" s="127">
        <v>2.6</v>
      </c>
      <c r="AE36" s="201" t="s">
        <v>242</v>
      </c>
    </row>
    <row r="37" spans="1:31" ht="44.25" customHeight="1" x14ac:dyDescent="0.2">
      <c r="A37" s="99">
        <v>41078</v>
      </c>
      <c r="B37" s="15" t="s">
        <v>756</v>
      </c>
      <c r="C37" s="15" t="s">
        <v>246</v>
      </c>
      <c r="D37" s="19">
        <v>33</v>
      </c>
      <c r="E37" s="52">
        <v>58</v>
      </c>
      <c r="F37" s="52">
        <v>25</v>
      </c>
      <c r="G37" s="34" t="s">
        <v>204</v>
      </c>
      <c r="H37" s="35" t="s">
        <v>263</v>
      </c>
      <c r="I37" s="52">
        <v>2</v>
      </c>
      <c r="J37" s="36" t="s">
        <v>240</v>
      </c>
      <c r="K37" s="37" t="s">
        <v>243</v>
      </c>
      <c r="L37" s="53" t="s">
        <v>244</v>
      </c>
      <c r="M37" s="53">
        <v>50</v>
      </c>
      <c r="N37" s="39"/>
      <c r="O37" s="53">
        <v>8</v>
      </c>
      <c r="P37" s="53" t="s">
        <v>62</v>
      </c>
      <c r="Q37" s="167" t="s">
        <v>67</v>
      </c>
      <c r="R37" s="167" t="s">
        <v>84</v>
      </c>
      <c r="S37" s="167" t="s">
        <v>47</v>
      </c>
      <c r="T37" s="167">
        <v>-4</v>
      </c>
      <c r="U37" s="167" t="s">
        <v>62</v>
      </c>
      <c r="V37" s="164">
        <v>1</v>
      </c>
      <c r="W37" s="167" t="s">
        <v>139</v>
      </c>
      <c r="X37" s="167">
        <v>1000</v>
      </c>
      <c r="Y37" s="167" t="s">
        <v>98</v>
      </c>
      <c r="Z37" s="168">
        <v>6</v>
      </c>
      <c r="AA37" s="166" t="s">
        <v>245</v>
      </c>
      <c r="AB37" s="216">
        <f>(161.34/(580.5+161.34))</f>
        <v>0.21748625040439987</v>
      </c>
      <c r="AC37" s="54">
        <f>(580.5+161.34)/760</f>
        <v>0.97610526315789481</v>
      </c>
      <c r="AD37" s="54">
        <v>3.16</v>
      </c>
      <c r="AE37" s="196" t="s">
        <v>262</v>
      </c>
    </row>
    <row r="38" spans="1:31" ht="44.25" customHeight="1" x14ac:dyDescent="0.2">
      <c r="A38" s="100">
        <v>41078</v>
      </c>
      <c r="B38" s="15" t="s">
        <v>756</v>
      </c>
      <c r="C38" s="13" t="s">
        <v>252</v>
      </c>
      <c r="D38" s="2">
        <v>34</v>
      </c>
      <c r="E38" s="3">
        <v>59</v>
      </c>
      <c r="F38" s="3">
        <v>25</v>
      </c>
      <c r="G38" s="7" t="s">
        <v>204</v>
      </c>
      <c r="H38" s="9" t="s">
        <v>263</v>
      </c>
      <c r="I38" s="3">
        <v>2</v>
      </c>
      <c r="J38" s="11" t="s">
        <v>247</v>
      </c>
      <c r="K38" s="23" t="s">
        <v>248</v>
      </c>
      <c r="L38" s="4" t="s">
        <v>249</v>
      </c>
      <c r="M38" s="4">
        <v>50</v>
      </c>
      <c r="N38" s="24"/>
      <c r="O38" s="4">
        <v>8</v>
      </c>
      <c r="P38" s="4" t="s">
        <v>62</v>
      </c>
      <c r="Q38" s="142" t="s">
        <v>67</v>
      </c>
      <c r="R38" s="142" t="s">
        <v>84</v>
      </c>
      <c r="S38" s="142" t="s">
        <v>47</v>
      </c>
      <c r="T38" s="142">
        <v>-4</v>
      </c>
      <c r="U38" s="142" t="s">
        <v>62</v>
      </c>
      <c r="V38" s="143">
        <v>1</v>
      </c>
      <c r="W38" s="142" t="s">
        <v>139</v>
      </c>
      <c r="X38" s="142">
        <v>1000</v>
      </c>
      <c r="Y38" s="142" t="s">
        <v>98</v>
      </c>
      <c r="Z38" s="144">
        <v>7</v>
      </c>
      <c r="AA38" s="145" t="s">
        <v>251</v>
      </c>
      <c r="AB38" s="216">
        <f>(161.34/(580.5+161.34))</f>
        <v>0.21748625040439987</v>
      </c>
      <c r="AC38" s="54">
        <f>(580.5+161.34)/760</f>
        <v>0.97610526315789481</v>
      </c>
      <c r="AD38" s="54">
        <v>3.16</v>
      </c>
      <c r="AE38" s="192" t="s">
        <v>250</v>
      </c>
    </row>
    <row r="39" spans="1:31" ht="44.25" customHeight="1" x14ac:dyDescent="0.2">
      <c r="A39" s="100">
        <v>41078</v>
      </c>
      <c r="B39" s="15" t="s">
        <v>756</v>
      </c>
      <c r="C39" s="13" t="s">
        <v>256</v>
      </c>
      <c r="D39" s="2">
        <v>35</v>
      </c>
      <c r="E39" s="3">
        <v>60</v>
      </c>
      <c r="F39" s="3">
        <v>25</v>
      </c>
      <c r="G39" s="7" t="s">
        <v>204</v>
      </c>
      <c r="H39" s="9" t="s">
        <v>263</v>
      </c>
      <c r="I39" s="3">
        <v>2</v>
      </c>
      <c r="J39" s="11" t="s">
        <v>247</v>
      </c>
      <c r="K39" s="23" t="s">
        <v>253</v>
      </c>
      <c r="L39" s="4" t="s">
        <v>255</v>
      </c>
      <c r="M39" s="4">
        <v>50</v>
      </c>
      <c r="N39" s="24"/>
      <c r="O39" s="4">
        <v>8</v>
      </c>
      <c r="P39" s="4" t="s">
        <v>62</v>
      </c>
      <c r="Q39" s="142" t="s">
        <v>67</v>
      </c>
      <c r="R39" s="142" t="s">
        <v>84</v>
      </c>
      <c r="S39" s="142" t="s">
        <v>47</v>
      </c>
      <c r="T39" s="142">
        <v>-4</v>
      </c>
      <c r="U39" s="142" t="s">
        <v>62</v>
      </c>
      <c r="V39" s="143">
        <v>1</v>
      </c>
      <c r="W39" s="142" t="s">
        <v>139</v>
      </c>
      <c r="X39" s="142">
        <v>1000</v>
      </c>
      <c r="Y39" s="142" t="s">
        <v>98</v>
      </c>
      <c r="Z39" s="144">
        <v>3</v>
      </c>
      <c r="AA39" s="145" t="s">
        <v>254</v>
      </c>
      <c r="AB39" s="216">
        <f>(161.34/(580.5+161.34))</f>
        <v>0.21748625040439987</v>
      </c>
      <c r="AC39" s="54">
        <f>(580.5+161.34)/760</f>
        <v>0.97610526315789481</v>
      </c>
      <c r="AD39" s="54">
        <v>3.16</v>
      </c>
      <c r="AE39" s="192" t="s">
        <v>257</v>
      </c>
    </row>
    <row r="40" spans="1:31" ht="44.25" customHeight="1" thickBot="1" x14ac:dyDescent="0.25">
      <c r="A40" s="203">
        <v>41078</v>
      </c>
      <c r="B40" s="15" t="s">
        <v>756</v>
      </c>
      <c r="C40" s="67" t="s">
        <v>258</v>
      </c>
      <c r="D40" s="68">
        <v>36</v>
      </c>
      <c r="E40" s="69">
        <v>61</v>
      </c>
      <c r="F40" s="69">
        <v>25</v>
      </c>
      <c r="G40" s="70" t="s">
        <v>204</v>
      </c>
      <c r="H40" s="71" t="s">
        <v>263</v>
      </c>
      <c r="I40" s="69">
        <v>2</v>
      </c>
      <c r="J40" s="82" t="s">
        <v>240</v>
      </c>
      <c r="K40" s="83" t="s">
        <v>259</v>
      </c>
      <c r="L40" s="72" t="s">
        <v>260</v>
      </c>
      <c r="M40" s="72">
        <v>50</v>
      </c>
      <c r="N40" s="73"/>
      <c r="O40" s="202">
        <v>10</v>
      </c>
      <c r="P40" s="125"/>
      <c r="Q40" s="184" t="s">
        <v>67</v>
      </c>
      <c r="R40" s="185" t="s">
        <v>84</v>
      </c>
      <c r="S40" s="184" t="s">
        <v>47</v>
      </c>
      <c r="T40" s="184">
        <v>-4</v>
      </c>
      <c r="U40" s="184" t="s">
        <v>62</v>
      </c>
      <c r="V40" s="186">
        <v>1</v>
      </c>
      <c r="W40" s="184" t="s">
        <v>139</v>
      </c>
      <c r="X40" s="184">
        <v>1000</v>
      </c>
      <c r="Y40" s="184" t="s">
        <v>98</v>
      </c>
      <c r="Z40" s="187">
        <v>5</v>
      </c>
      <c r="AA40" s="188" t="s">
        <v>261</v>
      </c>
      <c r="AB40" s="217">
        <f>(161.34/(580.5+161.34))</f>
        <v>0.21748625040439987</v>
      </c>
      <c r="AC40" s="127">
        <f>(580.5+161.34)/760</f>
        <v>0.97610526315789481</v>
      </c>
      <c r="AD40" s="127">
        <v>3.16</v>
      </c>
      <c r="AE40" s="201" t="s">
        <v>264</v>
      </c>
    </row>
    <row r="41" spans="1:31" ht="44.25" customHeight="1" x14ac:dyDescent="0.2">
      <c r="A41" s="99">
        <v>41088</v>
      </c>
      <c r="B41" s="15" t="s">
        <v>758</v>
      </c>
      <c r="C41" s="15" t="s">
        <v>269</v>
      </c>
      <c r="D41" s="19">
        <v>37</v>
      </c>
      <c r="E41" s="52">
        <v>5</v>
      </c>
      <c r="F41" s="52">
        <v>9</v>
      </c>
      <c r="G41" s="40" t="s">
        <v>29</v>
      </c>
      <c r="H41" s="35" t="s">
        <v>30</v>
      </c>
      <c r="I41" s="52">
        <v>2</v>
      </c>
      <c r="J41" s="36" t="s">
        <v>270</v>
      </c>
      <c r="K41" s="37" t="s">
        <v>267</v>
      </c>
      <c r="L41" s="53" t="s">
        <v>268</v>
      </c>
      <c r="M41" s="53">
        <v>50</v>
      </c>
      <c r="N41" s="39"/>
      <c r="O41" s="53">
        <v>8</v>
      </c>
      <c r="P41" s="53" t="s">
        <v>62</v>
      </c>
      <c r="Q41" s="167" t="s">
        <v>45</v>
      </c>
      <c r="R41" s="167" t="s">
        <v>84</v>
      </c>
      <c r="S41" s="167" t="s">
        <v>121</v>
      </c>
      <c r="T41" s="167" t="s">
        <v>265</v>
      </c>
      <c r="U41" s="167" t="s">
        <v>62</v>
      </c>
      <c r="V41" s="164">
        <v>1</v>
      </c>
      <c r="W41" s="167" t="s">
        <v>122</v>
      </c>
      <c r="X41" s="167">
        <v>1000</v>
      </c>
      <c r="Y41" s="167" t="s">
        <v>98</v>
      </c>
      <c r="Z41" s="168">
        <v>2</v>
      </c>
      <c r="AA41" s="166" t="s">
        <v>272</v>
      </c>
      <c r="AB41" s="216">
        <f>(163.15)/(163.15+579)</f>
        <v>0.21983426531024727</v>
      </c>
      <c r="AC41" s="54">
        <f>(163.15+579)/760</f>
        <v>0.97651315789473681</v>
      </c>
      <c r="AD41" s="54">
        <v>2.85</v>
      </c>
      <c r="AE41" s="196" t="s">
        <v>278</v>
      </c>
    </row>
    <row r="42" spans="1:31" ht="44.25" customHeight="1" x14ac:dyDescent="0.2">
      <c r="A42" s="100">
        <v>41088</v>
      </c>
      <c r="B42" s="15" t="s">
        <v>758</v>
      </c>
      <c r="C42" s="13" t="s">
        <v>274</v>
      </c>
      <c r="D42" s="2">
        <v>38</v>
      </c>
      <c r="E42" s="3">
        <v>14</v>
      </c>
      <c r="F42" s="3">
        <v>29</v>
      </c>
      <c r="G42" s="263" t="s">
        <v>266</v>
      </c>
      <c r="H42" s="9" t="s">
        <v>30</v>
      </c>
      <c r="I42" s="3">
        <v>2</v>
      </c>
      <c r="J42" s="11" t="s">
        <v>270</v>
      </c>
      <c r="K42" s="23" t="s">
        <v>271</v>
      </c>
      <c r="L42" s="4">
        <v>14.5</v>
      </c>
      <c r="M42" s="4">
        <v>50</v>
      </c>
      <c r="N42" s="24"/>
      <c r="O42" s="4">
        <v>8</v>
      </c>
      <c r="P42" s="4" t="s">
        <v>62</v>
      </c>
      <c r="Q42" s="142" t="s">
        <v>45</v>
      </c>
      <c r="R42" s="142" t="s">
        <v>84</v>
      </c>
      <c r="S42" s="142" t="s">
        <v>121</v>
      </c>
      <c r="T42" s="142" t="s">
        <v>128</v>
      </c>
      <c r="U42" s="142" t="s">
        <v>62</v>
      </c>
      <c r="V42" s="143">
        <v>1</v>
      </c>
      <c r="W42" s="142" t="s">
        <v>122</v>
      </c>
      <c r="X42" s="142">
        <v>1000</v>
      </c>
      <c r="Y42" s="142" t="s">
        <v>98</v>
      </c>
      <c r="Z42" s="144">
        <v>2</v>
      </c>
      <c r="AA42" s="145" t="s">
        <v>273</v>
      </c>
      <c r="AB42" s="216">
        <f>(163.15)/(163.15+579)</f>
        <v>0.21983426531024727</v>
      </c>
      <c r="AC42" s="54">
        <f>(163.15+579)/760</f>
        <v>0.97651315789473681</v>
      </c>
      <c r="AD42" s="54">
        <v>2.85</v>
      </c>
      <c r="AE42" s="192" t="s">
        <v>277</v>
      </c>
    </row>
    <row r="43" spans="1:31" ht="44.25" customHeight="1" x14ac:dyDescent="0.2">
      <c r="A43" s="100">
        <v>41088</v>
      </c>
      <c r="B43" s="15" t="s">
        <v>758</v>
      </c>
      <c r="C43" s="13" t="s">
        <v>279</v>
      </c>
      <c r="D43" s="2">
        <v>39</v>
      </c>
      <c r="E43" s="3">
        <v>66</v>
      </c>
      <c r="F43" s="3">
        <v>33</v>
      </c>
      <c r="G43" s="262" t="s">
        <v>275</v>
      </c>
      <c r="H43" s="9" t="s">
        <v>189</v>
      </c>
      <c r="I43" s="3">
        <v>2</v>
      </c>
      <c r="J43" s="11" t="s">
        <v>276</v>
      </c>
      <c r="K43" s="23" t="s">
        <v>280</v>
      </c>
      <c r="L43" s="4" t="s">
        <v>281</v>
      </c>
      <c r="M43" s="4">
        <v>50</v>
      </c>
      <c r="N43" s="24"/>
      <c r="O43" s="4">
        <v>8</v>
      </c>
      <c r="P43" s="4" t="s">
        <v>62</v>
      </c>
      <c r="Q43" s="142" t="s">
        <v>45</v>
      </c>
      <c r="R43" s="142" t="s">
        <v>84</v>
      </c>
      <c r="S43" s="142" t="s">
        <v>47</v>
      </c>
      <c r="T43" s="142">
        <v>-5</v>
      </c>
      <c r="U43" s="142" t="s">
        <v>62</v>
      </c>
      <c r="V43" s="143">
        <v>1</v>
      </c>
      <c r="W43" s="142" t="s">
        <v>139</v>
      </c>
      <c r="X43" s="142">
        <v>1000</v>
      </c>
      <c r="Y43" s="142" t="s">
        <v>98</v>
      </c>
      <c r="Z43" s="144">
        <v>4</v>
      </c>
      <c r="AA43" s="145" t="s">
        <v>285</v>
      </c>
      <c r="AB43" s="216">
        <f>(163.15)/(163.15+579)</f>
        <v>0.21983426531024727</v>
      </c>
      <c r="AC43" s="54">
        <f>(163.15+579)/760</f>
        <v>0.97651315789473681</v>
      </c>
      <c r="AD43" s="54">
        <v>2.85</v>
      </c>
      <c r="AE43" s="192" t="s">
        <v>282</v>
      </c>
    </row>
    <row r="44" spans="1:31" ht="44.25" customHeight="1" thickBot="1" x14ac:dyDescent="0.25">
      <c r="A44" s="117">
        <v>41088</v>
      </c>
      <c r="B44" s="15" t="s">
        <v>758</v>
      </c>
      <c r="C44" s="118" t="s">
        <v>283</v>
      </c>
      <c r="D44" s="119">
        <v>40</v>
      </c>
      <c r="E44" s="120">
        <v>67</v>
      </c>
      <c r="F44" s="120">
        <v>33</v>
      </c>
      <c r="G44" s="266" t="s">
        <v>275</v>
      </c>
      <c r="H44" s="122" t="s">
        <v>189</v>
      </c>
      <c r="I44" s="120">
        <v>2</v>
      </c>
      <c r="J44" s="123"/>
      <c r="K44" s="124" t="s">
        <v>284</v>
      </c>
      <c r="L44" s="125" t="s">
        <v>730</v>
      </c>
      <c r="M44" s="125">
        <v>50</v>
      </c>
      <c r="N44" s="126"/>
      <c r="O44" s="125">
        <v>8</v>
      </c>
      <c r="P44" s="125" t="s">
        <v>62</v>
      </c>
      <c r="Q44" s="184" t="s">
        <v>45</v>
      </c>
      <c r="R44" s="184" t="s">
        <v>84</v>
      </c>
      <c r="S44" s="184" t="s">
        <v>47</v>
      </c>
      <c r="T44" s="184">
        <v>-5</v>
      </c>
      <c r="U44" s="184" t="s">
        <v>62</v>
      </c>
      <c r="V44" s="186">
        <v>1</v>
      </c>
      <c r="W44" s="184" t="s">
        <v>139</v>
      </c>
      <c r="X44" s="184">
        <v>1000</v>
      </c>
      <c r="Y44" s="184" t="s">
        <v>98</v>
      </c>
      <c r="Z44" s="187">
        <v>8</v>
      </c>
      <c r="AA44" s="188"/>
      <c r="AB44" s="217">
        <f>(163.15)/(163.15+579)</f>
        <v>0.21983426531024727</v>
      </c>
      <c r="AC44" s="127">
        <f>(163.15+579)/760</f>
        <v>0.97651315789473681</v>
      </c>
      <c r="AD44" s="127">
        <v>2.85</v>
      </c>
      <c r="AE44" s="201" t="s">
        <v>287</v>
      </c>
    </row>
    <row r="45" spans="1:31" ht="44.25" customHeight="1" x14ac:dyDescent="0.2">
      <c r="A45" s="99">
        <v>41089</v>
      </c>
      <c r="B45" s="15" t="s">
        <v>759</v>
      </c>
      <c r="C45" s="15" t="s">
        <v>291</v>
      </c>
      <c r="D45" s="19">
        <v>41</v>
      </c>
      <c r="E45" s="52">
        <v>34</v>
      </c>
      <c r="F45" s="52">
        <v>16</v>
      </c>
      <c r="G45" s="34" t="s">
        <v>224</v>
      </c>
      <c r="H45" s="35" t="s">
        <v>286</v>
      </c>
      <c r="I45" s="52">
        <v>2</v>
      </c>
      <c r="J45" s="36" t="s">
        <v>240</v>
      </c>
      <c r="K45" s="37" t="s">
        <v>288</v>
      </c>
      <c r="L45" s="53">
        <v>0</v>
      </c>
      <c r="M45" s="53">
        <v>50</v>
      </c>
      <c r="N45" s="39"/>
      <c r="O45" s="53">
        <v>8</v>
      </c>
      <c r="P45" s="53">
        <v>393</v>
      </c>
      <c r="Q45" s="167" t="s">
        <v>67</v>
      </c>
      <c r="R45" s="167" t="s">
        <v>84</v>
      </c>
      <c r="S45" s="167" t="s">
        <v>47</v>
      </c>
      <c r="T45" s="167">
        <v>-4</v>
      </c>
      <c r="U45" s="167" t="s">
        <v>62</v>
      </c>
      <c r="V45" s="164">
        <v>1</v>
      </c>
      <c r="W45" s="167" t="s">
        <v>139</v>
      </c>
      <c r="X45" s="167">
        <v>1000</v>
      </c>
      <c r="Y45" s="167" t="s">
        <v>98</v>
      </c>
      <c r="Z45" s="168">
        <v>8</v>
      </c>
      <c r="AA45" s="166" t="s">
        <v>294</v>
      </c>
      <c r="AB45" s="216">
        <f>164.23/750.1</f>
        <v>0.21894414078122915</v>
      </c>
      <c r="AC45" s="54">
        <f>750.1/760</f>
        <v>0.98697368421052634</v>
      </c>
      <c r="AD45" s="54">
        <v>2.5</v>
      </c>
      <c r="AE45" s="196" t="s">
        <v>289</v>
      </c>
    </row>
    <row r="46" spans="1:31" ht="44.25" customHeight="1" x14ac:dyDescent="0.2">
      <c r="A46" s="2" t="s">
        <v>292</v>
      </c>
      <c r="B46" s="15" t="s">
        <v>759</v>
      </c>
      <c r="C46" s="13" t="s">
        <v>293</v>
      </c>
      <c r="D46" s="2">
        <v>42</v>
      </c>
      <c r="E46" s="3">
        <v>35</v>
      </c>
      <c r="F46" s="3">
        <v>16</v>
      </c>
      <c r="G46" s="7" t="s">
        <v>224</v>
      </c>
      <c r="H46" s="9" t="s">
        <v>191</v>
      </c>
      <c r="I46" s="3">
        <v>2</v>
      </c>
      <c r="J46" s="11" t="s">
        <v>240</v>
      </c>
      <c r="K46" s="23" t="s">
        <v>290</v>
      </c>
      <c r="L46" s="4">
        <v>0</v>
      </c>
      <c r="M46" s="4">
        <v>50</v>
      </c>
      <c r="N46" s="24"/>
      <c r="O46" s="4">
        <v>8</v>
      </c>
      <c r="P46" s="4" t="s">
        <v>62</v>
      </c>
      <c r="Q46" s="142" t="s">
        <v>67</v>
      </c>
      <c r="R46" s="142" t="s">
        <v>84</v>
      </c>
      <c r="S46" s="142" t="s">
        <v>47</v>
      </c>
      <c r="T46" s="142">
        <v>-4</v>
      </c>
      <c r="U46" s="142" t="s">
        <v>62</v>
      </c>
      <c r="V46" s="143">
        <v>1</v>
      </c>
      <c r="W46" s="142" t="s">
        <v>139</v>
      </c>
      <c r="X46" s="142">
        <v>1000</v>
      </c>
      <c r="Y46" s="142" t="s">
        <v>98</v>
      </c>
      <c r="Z46" s="144">
        <v>9</v>
      </c>
      <c r="AA46" s="145" t="s">
        <v>295</v>
      </c>
      <c r="AB46" s="216">
        <f>164.23/750.1</f>
        <v>0.21894414078122915</v>
      </c>
      <c r="AC46" s="54">
        <f>750.1/760</f>
        <v>0.98697368421052634</v>
      </c>
      <c r="AD46" s="54">
        <v>2.5</v>
      </c>
      <c r="AE46" s="192" t="s">
        <v>296</v>
      </c>
    </row>
    <row r="47" spans="1:31" ht="44.25" customHeight="1" x14ac:dyDescent="0.2">
      <c r="A47" s="100">
        <v>41089</v>
      </c>
      <c r="B47" s="15" t="s">
        <v>759</v>
      </c>
      <c r="C47" s="13" t="s">
        <v>300</v>
      </c>
      <c r="D47" s="2">
        <v>43</v>
      </c>
      <c r="E47" s="3">
        <v>16</v>
      </c>
      <c r="F47" s="3">
        <v>31</v>
      </c>
      <c r="G47" s="264" t="s">
        <v>297</v>
      </c>
      <c r="H47" s="9" t="s">
        <v>30</v>
      </c>
      <c r="I47" s="3">
        <v>2</v>
      </c>
      <c r="J47" s="11" t="s">
        <v>298</v>
      </c>
      <c r="K47" s="23" t="s">
        <v>130</v>
      </c>
      <c r="L47" s="4">
        <v>14.5</v>
      </c>
      <c r="M47" s="4">
        <v>50</v>
      </c>
      <c r="N47" s="24"/>
      <c r="O47" s="4">
        <v>8</v>
      </c>
      <c r="P47" s="4" t="s">
        <v>62</v>
      </c>
      <c r="Q47" s="142" t="s">
        <v>45</v>
      </c>
      <c r="R47" s="142" t="s">
        <v>84</v>
      </c>
      <c r="S47" s="142" t="s">
        <v>121</v>
      </c>
      <c r="T47" s="142" t="s">
        <v>299</v>
      </c>
      <c r="U47" s="142" t="s">
        <v>62</v>
      </c>
      <c r="V47" s="143">
        <v>1</v>
      </c>
      <c r="W47" s="142" t="s">
        <v>122</v>
      </c>
      <c r="X47" s="142">
        <v>1000</v>
      </c>
      <c r="Y47" s="142" t="s">
        <v>98</v>
      </c>
      <c r="Z47" s="144">
        <v>9</v>
      </c>
      <c r="AA47" s="145" t="s">
        <v>306</v>
      </c>
      <c r="AB47" s="216">
        <f>164.23/750.1</f>
        <v>0.21894414078122915</v>
      </c>
      <c r="AC47" s="54">
        <f>750.1/760</f>
        <v>0.98697368421052634</v>
      </c>
      <c r="AD47" s="54">
        <v>2.5</v>
      </c>
      <c r="AE47" s="192" t="s">
        <v>301</v>
      </c>
    </row>
    <row r="48" spans="1:31" ht="44.25" customHeight="1" thickBot="1" x14ac:dyDescent="0.25">
      <c r="A48" s="117">
        <v>41089</v>
      </c>
      <c r="B48" s="15" t="s">
        <v>759</v>
      </c>
      <c r="C48" s="118" t="s">
        <v>307</v>
      </c>
      <c r="D48" s="119">
        <v>44</v>
      </c>
      <c r="E48" s="120" t="s">
        <v>302</v>
      </c>
      <c r="F48" s="120">
        <v>9</v>
      </c>
      <c r="G48" s="265" t="s">
        <v>303</v>
      </c>
      <c r="H48" s="122" t="s">
        <v>304</v>
      </c>
      <c r="I48" s="120">
        <v>2</v>
      </c>
      <c r="J48" s="123" t="s">
        <v>247</v>
      </c>
      <c r="K48" s="124" t="s">
        <v>124</v>
      </c>
      <c r="L48" s="125">
        <v>10</v>
      </c>
      <c r="M48" s="125">
        <v>50</v>
      </c>
      <c r="N48" s="126"/>
      <c r="O48" s="125">
        <v>8</v>
      </c>
      <c r="P48" s="125" t="s">
        <v>62</v>
      </c>
      <c r="Q48" s="184" t="s">
        <v>45</v>
      </c>
      <c r="R48" s="184" t="s">
        <v>84</v>
      </c>
      <c r="S48" s="184" t="s">
        <v>121</v>
      </c>
      <c r="T48" s="184" t="s">
        <v>305</v>
      </c>
      <c r="U48" s="184" t="s">
        <v>62</v>
      </c>
      <c r="V48" s="186">
        <v>1</v>
      </c>
      <c r="W48" s="184" t="s">
        <v>122</v>
      </c>
      <c r="X48" s="184">
        <v>1000</v>
      </c>
      <c r="Y48" s="184" t="s">
        <v>98</v>
      </c>
      <c r="Z48" s="187">
        <v>9</v>
      </c>
      <c r="AA48" s="188" t="s">
        <v>310</v>
      </c>
      <c r="AB48" s="217">
        <f>164.23/750.1</f>
        <v>0.21894414078122915</v>
      </c>
      <c r="AC48" s="127">
        <f>750.1/760</f>
        <v>0.98697368421052634</v>
      </c>
      <c r="AD48" s="127">
        <v>2.5</v>
      </c>
      <c r="AE48" s="201" t="s">
        <v>308</v>
      </c>
    </row>
    <row r="49" spans="1:31" ht="44.25" customHeight="1" x14ac:dyDescent="0.2">
      <c r="A49" s="204">
        <v>41093</v>
      </c>
      <c r="B49" s="15" t="s">
        <v>760</v>
      </c>
      <c r="C49" s="15" t="s">
        <v>312</v>
      </c>
      <c r="D49" s="19">
        <v>45</v>
      </c>
      <c r="E49" s="52">
        <v>6</v>
      </c>
      <c r="F49" s="52">
        <v>8</v>
      </c>
      <c r="G49" s="40" t="s">
        <v>29</v>
      </c>
      <c r="H49" s="35" t="s">
        <v>30</v>
      </c>
      <c r="I49" s="52">
        <v>2</v>
      </c>
      <c r="J49" s="36" t="s">
        <v>311</v>
      </c>
      <c r="K49" s="37" t="s">
        <v>314</v>
      </c>
      <c r="L49" s="53">
        <v>9</v>
      </c>
      <c r="M49" s="53">
        <v>50</v>
      </c>
      <c r="N49" s="39"/>
      <c r="O49" s="53">
        <v>8</v>
      </c>
      <c r="P49" s="53" t="s">
        <v>62</v>
      </c>
      <c r="Q49" s="167" t="s">
        <v>45</v>
      </c>
      <c r="R49" s="167" t="s">
        <v>84</v>
      </c>
      <c r="S49" s="167" t="s">
        <v>121</v>
      </c>
      <c r="T49" s="167" t="s">
        <v>305</v>
      </c>
      <c r="U49" s="167" t="s">
        <v>62</v>
      </c>
      <c r="V49" s="164">
        <v>1</v>
      </c>
      <c r="W49" s="167" t="s">
        <v>122</v>
      </c>
      <c r="X49" s="167">
        <v>1000</v>
      </c>
      <c r="Y49" s="167" t="s">
        <v>98</v>
      </c>
      <c r="Z49" s="168">
        <v>6</v>
      </c>
      <c r="AA49" s="166" t="s">
        <v>313</v>
      </c>
      <c r="AB49" s="216">
        <f>166.76/750.5</f>
        <v>0.22219853431045969</v>
      </c>
      <c r="AC49" s="54">
        <f>750.5/760</f>
        <v>0.98750000000000004</v>
      </c>
      <c r="AD49" s="54">
        <v>1.37</v>
      </c>
      <c r="AE49" s="196" t="s">
        <v>316</v>
      </c>
    </row>
    <row r="50" spans="1:31" ht="44.25" customHeight="1" x14ac:dyDescent="0.2">
      <c r="A50" s="205">
        <v>41093</v>
      </c>
      <c r="B50" s="15" t="s">
        <v>760</v>
      </c>
      <c r="C50" s="13" t="s">
        <v>318</v>
      </c>
      <c r="D50" s="2">
        <v>46</v>
      </c>
      <c r="E50" s="3">
        <v>82</v>
      </c>
      <c r="F50" s="3">
        <v>35</v>
      </c>
      <c r="G50" s="207" t="s">
        <v>315</v>
      </c>
      <c r="H50" s="9" t="s">
        <v>187</v>
      </c>
      <c r="I50" s="3">
        <v>2</v>
      </c>
      <c r="J50" s="11" t="s">
        <v>270</v>
      </c>
      <c r="K50" s="23" t="s">
        <v>317</v>
      </c>
      <c r="L50" s="4" t="s">
        <v>329</v>
      </c>
      <c r="M50" s="4">
        <v>50</v>
      </c>
      <c r="N50" s="24"/>
      <c r="O50" s="4">
        <v>8</v>
      </c>
      <c r="P50" s="4" t="s">
        <v>62</v>
      </c>
      <c r="Q50" s="142" t="s">
        <v>45</v>
      </c>
      <c r="R50" s="142" t="s">
        <v>46</v>
      </c>
      <c r="S50" s="142" t="s">
        <v>47</v>
      </c>
      <c r="T50" s="142">
        <v>-5</v>
      </c>
      <c r="U50" s="142" t="s">
        <v>86</v>
      </c>
      <c r="V50" s="143"/>
      <c r="W50" s="142" t="s">
        <v>139</v>
      </c>
      <c r="X50" s="142">
        <v>1000</v>
      </c>
      <c r="Y50" s="142" t="s">
        <v>330</v>
      </c>
      <c r="Z50" s="144">
        <v>6</v>
      </c>
      <c r="AA50" s="145" t="s">
        <v>319</v>
      </c>
      <c r="AB50" s="216">
        <f>166.76/750.5</f>
        <v>0.22219853431045969</v>
      </c>
      <c r="AC50" s="54">
        <f>750.5/760</f>
        <v>0.98750000000000004</v>
      </c>
      <c r="AD50" s="54">
        <v>1.37</v>
      </c>
      <c r="AE50" s="192" t="s">
        <v>326</v>
      </c>
    </row>
    <row r="51" spans="1:31" ht="44.25" customHeight="1" x14ac:dyDescent="0.2">
      <c r="A51" s="205">
        <v>41093</v>
      </c>
      <c r="B51" s="15" t="s">
        <v>760</v>
      </c>
      <c r="C51" s="13" t="s">
        <v>322</v>
      </c>
      <c r="D51" s="2">
        <v>47</v>
      </c>
      <c r="E51" s="3" t="s">
        <v>320</v>
      </c>
      <c r="F51" s="3">
        <v>35</v>
      </c>
      <c r="G51" s="207" t="s">
        <v>315</v>
      </c>
      <c r="H51" s="9" t="s">
        <v>187</v>
      </c>
      <c r="I51" s="3">
        <v>2</v>
      </c>
      <c r="J51" s="11" t="s">
        <v>321</v>
      </c>
      <c r="K51" s="23" t="s">
        <v>323</v>
      </c>
      <c r="L51" s="4" t="s">
        <v>328</v>
      </c>
      <c r="M51" s="4">
        <v>50</v>
      </c>
      <c r="N51" s="24" t="s">
        <v>334</v>
      </c>
      <c r="O51" s="4">
        <v>8</v>
      </c>
      <c r="P51" s="4" t="s">
        <v>62</v>
      </c>
      <c r="Q51" s="142" t="s">
        <v>67</v>
      </c>
      <c r="R51" s="142" t="s">
        <v>46</v>
      </c>
      <c r="S51" s="142" t="s">
        <v>47</v>
      </c>
      <c r="T51" s="142">
        <v>-5</v>
      </c>
      <c r="U51" s="142" t="s">
        <v>86</v>
      </c>
      <c r="V51" s="143"/>
      <c r="W51" s="142" t="s">
        <v>139</v>
      </c>
      <c r="X51" s="142">
        <v>1000</v>
      </c>
      <c r="Y51" s="142" t="s">
        <v>330</v>
      </c>
      <c r="Z51" s="144">
        <v>7</v>
      </c>
      <c r="AA51" s="145" t="s">
        <v>324</v>
      </c>
      <c r="AB51" s="216">
        <f>166.76/750.5</f>
        <v>0.22219853431045969</v>
      </c>
      <c r="AC51" s="54">
        <f>750.5/760</f>
        <v>0.98750000000000004</v>
      </c>
      <c r="AD51" s="54">
        <v>1.37</v>
      </c>
      <c r="AE51" s="192" t="s">
        <v>325</v>
      </c>
    </row>
    <row r="52" spans="1:31" ht="44.25" customHeight="1" x14ac:dyDescent="0.2">
      <c r="A52" s="205">
        <v>41093</v>
      </c>
      <c r="B52" s="15" t="s">
        <v>760</v>
      </c>
      <c r="C52" s="13" t="s">
        <v>333</v>
      </c>
      <c r="D52" s="2">
        <v>48</v>
      </c>
      <c r="E52" s="3" t="s">
        <v>327</v>
      </c>
      <c r="F52" s="3">
        <v>35</v>
      </c>
      <c r="G52" s="207" t="s">
        <v>315</v>
      </c>
      <c r="H52" s="9" t="s">
        <v>187</v>
      </c>
      <c r="I52" s="3">
        <v>2</v>
      </c>
      <c r="J52" s="11" t="s">
        <v>321</v>
      </c>
      <c r="K52" s="23" t="s">
        <v>331</v>
      </c>
      <c r="L52" s="4">
        <v>5</v>
      </c>
      <c r="M52" s="4">
        <v>250</v>
      </c>
      <c r="N52" s="24" t="s">
        <v>335</v>
      </c>
      <c r="O52" s="4">
        <v>8</v>
      </c>
      <c r="P52" s="4" t="s">
        <v>62</v>
      </c>
      <c r="Q52" s="142" t="s">
        <v>45</v>
      </c>
      <c r="R52" s="142" t="s">
        <v>46</v>
      </c>
      <c r="S52" s="142" t="s">
        <v>47</v>
      </c>
      <c r="T52" s="142">
        <v>-5</v>
      </c>
      <c r="U52" s="142" t="s">
        <v>86</v>
      </c>
      <c r="V52" s="143"/>
      <c r="W52" s="142" t="s">
        <v>139</v>
      </c>
      <c r="X52" s="142">
        <v>1600</v>
      </c>
      <c r="Y52" s="142" t="s">
        <v>330</v>
      </c>
      <c r="Z52" s="144">
        <v>7</v>
      </c>
      <c r="AA52" s="145" t="s">
        <v>338</v>
      </c>
      <c r="AB52" s="216">
        <f>166.76/750.5</f>
        <v>0.22219853431045969</v>
      </c>
      <c r="AC52" s="54">
        <f>750.5/760</f>
        <v>0.98750000000000004</v>
      </c>
      <c r="AD52" s="54">
        <v>1.37</v>
      </c>
      <c r="AE52" s="192" t="s">
        <v>332</v>
      </c>
    </row>
    <row r="53" spans="1:31" ht="44.25" customHeight="1" thickBot="1" x14ac:dyDescent="0.25">
      <c r="A53" s="206">
        <v>41093</v>
      </c>
      <c r="B53" s="15" t="s">
        <v>760</v>
      </c>
      <c r="C53" s="118" t="s">
        <v>341</v>
      </c>
      <c r="D53" s="119">
        <v>49</v>
      </c>
      <c r="E53" s="120">
        <v>68</v>
      </c>
      <c r="F53" s="120">
        <v>33</v>
      </c>
      <c r="G53" s="266" t="s">
        <v>336</v>
      </c>
      <c r="H53" s="122" t="s">
        <v>187</v>
      </c>
      <c r="I53" s="120">
        <v>2</v>
      </c>
      <c r="J53" s="123" t="s">
        <v>337</v>
      </c>
      <c r="K53" s="124" t="s">
        <v>181</v>
      </c>
      <c r="L53" s="125">
        <v>6</v>
      </c>
      <c r="M53" s="125">
        <v>50</v>
      </c>
      <c r="N53" s="126"/>
      <c r="O53" s="125">
        <v>8</v>
      </c>
      <c r="P53" s="125" t="s">
        <v>62</v>
      </c>
      <c r="Q53" s="184" t="s">
        <v>45</v>
      </c>
      <c r="R53" s="184" t="s">
        <v>84</v>
      </c>
      <c r="S53" s="184" t="s">
        <v>47</v>
      </c>
      <c r="T53" s="184">
        <v>-5</v>
      </c>
      <c r="U53" s="184" t="s">
        <v>62</v>
      </c>
      <c r="V53" s="186">
        <v>1</v>
      </c>
      <c r="W53" s="184" t="s">
        <v>139</v>
      </c>
      <c r="X53" s="184">
        <v>1000</v>
      </c>
      <c r="Y53" s="184" t="s">
        <v>98</v>
      </c>
      <c r="Z53" s="187">
        <v>3</v>
      </c>
      <c r="AA53" s="188" t="s">
        <v>339</v>
      </c>
      <c r="AB53" s="217">
        <f>166.76/750.5</f>
        <v>0.22219853431045969</v>
      </c>
      <c r="AC53" s="127">
        <f>750.5/760</f>
        <v>0.98750000000000004</v>
      </c>
      <c r="AD53" s="127">
        <v>1.37</v>
      </c>
      <c r="AE53" s="201" t="s">
        <v>340</v>
      </c>
    </row>
    <row r="54" spans="1:31" ht="44.25" customHeight="1" x14ac:dyDescent="0.2">
      <c r="A54" s="204">
        <v>41102</v>
      </c>
      <c r="B54" s="15" t="s">
        <v>761</v>
      </c>
      <c r="C54" s="15" t="s">
        <v>343</v>
      </c>
      <c r="D54" s="19">
        <v>50</v>
      </c>
      <c r="E54" s="52">
        <v>69</v>
      </c>
      <c r="F54" s="52">
        <v>33</v>
      </c>
      <c r="G54" s="267" t="s">
        <v>336</v>
      </c>
      <c r="H54" s="35" t="s">
        <v>342</v>
      </c>
      <c r="I54" s="52">
        <v>2</v>
      </c>
      <c r="J54" s="36" t="s">
        <v>337</v>
      </c>
      <c r="K54" s="37" t="s">
        <v>124</v>
      </c>
      <c r="L54" s="53">
        <v>10</v>
      </c>
      <c r="M54" s="53">
        <v>1000</v>
      </c>
      <c r="N54" s="39"/>
      <c r="O54" s="53">
        <v>8</v>
      </c>
      <c r="P54" s="53" t="s">
        <v>62</v>
      </c>
      <c r="Q54" s="167" t="s">
        <v>45</v>
      </c>
      <c r="R54" s="167" t="s">
        <v>84</v>
      </c>
      <c r="S54" s="167" t="s">
        <v>47</v>
      </c>
      <c r="T54" s="167">
        <v>-4</v>
      </c>
      <c r="U54" s="167" t="s">
        <v>62</v>
      </c>
      <c r="V54" s="164">
        <v>1</v>
      </c>
      <c r="W54" s="167" t="s">
        <v>122</v>
      </c>
      <c r="X54" s="167">
        <v>1000</v>
      </c>
      <c r="Y54" s="167" t="s">
        <v>98</v>
      </c>
      <c r="Z54" s="168">
        <v>5</v>
      </c>
      <c r="AA54" s="166" t="s">
        <v>140</v>
      </c>
      <c r="AB54" s="216">
        <f>168.08/750.9</f>
        <v>0.22383806099347453</v>
      </c>
      <c r="AC54" s="54">
        <f>750.9/760</f>
        <v>0.98802631578947364</v>
      </c>
      <c r="AD54" s="54">
        <v>1.57</v>
      </c>
      <c r="AE54" s="196" t="s">
        <v>345</v>
      </c>
    </row>
    <row r="55" spans="1:31" ht="44.25" customHeight="1" x14ac:dyDescent="0.2">
      <c r="A55" s="205">
        <v>41102</v>
      </c>
      <c r="B55" s="15" t="s">
        <v>761</v>
      </c>
      <c r="C55" s="13" t="s">
        <v>348</v>
      </c>
      <c r="D55" s="2">
        <v>51</v>
      </c>
      <c r="E55" s="3">
        <v>111</v>
      </c>
      <c r="F55" s="3">
        <v>21</v>
      </c>
      <c r="G55" s="7" t="s">
        <v>344</v>
      </c>
      <c r="H55" s="9" t="s">
        <v>191</v>
      </c>
      <c r="I55" s="3">
        <v>2</v>
      </c>
      <c r="J55" s="11" t="s">
        <v>346</v>
      </c>
      <c r="K55" s="23" t="s">
        <v>124</v>
      </c>
      <c r="L55" s="4">
        <v>10</v>
      </c>
      <c r="M55" s="4">
        <v>50</v>
      </c>
      <c r="N55" s="24"/>
      <c r="O55" s="4" t="s">
        <v>349</v>
      </c>
      <c r="P55" s="4" t="s">
        <v>350</v>
      </c>
      <c r="Q55" s="142" t="s">
        <v>45</v>
      </c>
      <c r="R55" s="142" t="s">
        <v>84</v>
      </c>
      <c r="S55" s="142" t="s">
        <v>47</v>
      </c>
      <c r="T55" s="142">
        <v>-4</v>
      </c>
      <c r="U55" s="142" t="s">
        <v>62</v>
      </c>
      <c r="V55" s="143">
        <v>1</v>
      </c>
      <c r="W55" s="142" t="s">
        <v>139</v>
      </c>
      <c r="X55" s="142">
        <v>1000</v>
      </c>
      <c r="Y55" s="142" t="s">
        <v>98</v>
      </c>
      <c r="Z55" s="144">
        <v>5</v>
      </c>
      <c r="AA55" s="145" t="s">
        <v>347</v>
      </c>
      <c r="AB55" s="216">
        <f>168.08/750.9</f>
        <v>0.22383806099347453</v>
      </c>
      <c r="AC55" s="54">
        <f>750.9/760</f>
        <v>0.98802631578947364</v>
      </c>
      <c r="AD55" s="54">
        <v>1.57</v>
      </c>
      <c r="AE55" s="192" t="s">
        <v>351</v>
      </c>
    </row>
    <row r="56" spans="1:31" ht="44.25" customHeight="1" x14ac:dyDescent="0.2">
      <c r="A56" s="205">
        <v>41102</v>
      </c>
      <c r="B56" s="15" t="s">
        <v>761</v>
      </c>
      <c r="C56" s="13" t="s">
        <v>353</v>
      </c>
      <c r="D56" s="2">
        <v>52</v>
      </c>
      <c r="E56" s="3">
        <v>112</v>
      </c>
      <c r="F56" s="3">
        <v>21</v>
      </c>
      <c r="G56" s="7" t="s">
        <v>344</v>
      </c>
      <c r="H56" s="9" t="s">
        <v>191</v>
      </c>
      <c r="I56" s="3">
        <v>2</v>
      </c>
      <c r="J56" s="11" t="s">
        <v>346</v>
      </c>
      <c r="K56" s="23" t="s">
        <v>124</v>
      </c>
      <c r="L56" s="4">
        <v>10</v>
      </c>
      <c r="M56" s="4">
        <v>50</v>
      </c>
      <c r="N56" s="24"/>
      <c r="O56" s="4" t="s">
        <v>355</v>
      </c>
      <c r="P56" s="4"/>
      <c r="Q56" s="142" t="s">
        <v>45</v>
      </c>
      <c r="R56" s="142" t="s">
        <v>84</v>
      </c>
      <c r="S56" s="142" t="s">
        <v>47</v>
      </c>
      <c r="T56" s="142">
        <v>-4</v>
      </c>
      <c r="U56" s="142" t="s">
        <v>62</v>
      </c>
      <c r="V56" s="143">
        <v>1</v>
      </c>
      <c r="W56" s="142" t="s">
        <v>139</v>
      </c>
      <c r="X56" s="142">
        <v>1000</v>
      </c>
      <c r="Y56" s="142" t="s">
        <v>98</v>
      </c>
      <c r="Z56" s="144">
        <v>2</v>
      </c>
      <c r="AA56" s="145" t="s">
        <v>352</v>
      </c>
      <c r="AB56" s="216">
        <f>168.08/750.9</f>
        <v>0.22383806099347453</v>
      </c>
      <c r="AC56" s="54">
        <f>750.9/760</f>
        <v>0.98802631578947364</v>
      </c>
      <c r="AD56" s="54">
        <v>1.57</v>
      </c>
      <c r="AE56" s="192" t="s">
        <v>354</v>
      </c>
    </row>
    <row r="57" spans="1:31" ht="44.25" customHeight="1" thickBot="1" x14ac:dyDescent="0.25">
      <c r="A57" s="206">
        <v>41102</v>
      </c>
      <c r="B57" s="15" t="s">
        <v>761</v>
      </c>
      <c r="C57" s="118" t="s">
        <v>356</v>
      </c>
      <c r="D57" s="119">
        <v>53</v>
      </c>
      <c r="E57" s="120">
        <v>113</v>
      </c>
      <c r="F57" s="120">
        <v>21</v>
      </c>
      <c r="G57" s="121" t="s">
        <v>344</v>
      </c>
      <c r="H57" s="122" t="s">
        <v>191</v>
      </c>
      <c r="I57" s="120">
        <v>2</v>
      </c>
      <c r="J57" s="123" t="s">
        <v>346</v>
      </c>
      <c r="K57" s="124" t="s">
        <v>124</v>
      </c>
      <c r="L57" s="125">
        <v>10</v>
      </c>
      <c r="M57" s="125">
        <v>50</v>
      </c>
      <c r="N57" s="126"/>
      <c r="O57" s="125" t="s">
        <v>357</v>
      </c>
      <c r="P57" s="125">
        <v>495</v>
      </c>
      <c r="Q57" s="184" t="s">
        <v>45</v>
      </c>
      <c r="R57" s="184" t="s">
        <v>84</v>
      </c>
      <c r="S57" s="184" t="s">
        <v>47</v>
      </c>
      <c r="T57" s="184">
        <v>-5</v>
      </c>
      <c r="U57" s="184" t="s">
        <v>62</v>
      </c>
      <c r="V57" s="186">
        <v>1</v>
      </c>
      <c r="W57" s="184" t="s">
        <v>139</v>
      </c>
      <c r="X57" s="184">
        <v>1000</v>
      </c>
      <c r="Y57" s="184" t="s">
        <v>98</v>
      </c>
      <c r="Z57" s="187">
        <v>4</v>
      </c>
      <c r="AA57" s="188" t="s">
        <v>358</v>
      </c>
      <c r="AB57" s="217">
        <f>168.08/750.9</f>
        <v>0.22383806099347453</v>
      </c>
      <c r="AC57" s="127">
        <f>750.9/760</f>
        <v>0.98802631578947364</v>
      </c>
      <c r="AD57" s="127">
        <v>1.57</v>
      </c>
      <c r="AE57" s="201" t="s">
        <v>359</v>
      </c>
    </row>
    <row r="58" spans="1:31" ht="44.25" customHeight="1" x14ac:dyDescent="0.2">
      <c r="A58" s="204">
        <v>41109</v>
      </c>
      <c r="B58" s="15" t="s">
        <v>762</v>
      </c>
      <c r="C58" s="15" t="s">
        <v>382</v>
      </c>
      <c r="D58" s="19">
        <v>54</v>
      </c>
      <c r="E58" s="52">
        <v>2</v>
      </c>
      <c r="F58" s="52">
        <v>5</v>
      </c>
      <c r="G58" s="40" t="s">
        <v>29</v>
      </c>
      <c r="H58" s="35" t="s">
        <v>30</v>
      </c>
      <c r="I58" s="52">
        <v>0</v>
      </c>
      <c r="J58" s="36" t="s">
        <v>360</v>
      </c>
      <c r="K58" s="37" t="s">
        <v>361</v>
      </c>
      <c r="L58" s="53" t="s">
        <v>370</v>
      </c>
      <c r="M58" s="53">
        <v>50</v>
      </c>
      <c r="N58" s="39"/>
      <c r="O58" s="53">
        <v>8</v>
      </c>
      <c r="P58" s="53" t="s">
        <v>62</v>
      </c>
      <c r="Q58" s="167" t="s">
        <v>45</v>
      </c>
      <c r="R58" s="167" t="s">
        <v>84</v>
      </c>
      <c r="S58" s="167" t="s">
        <v>121</v>
      </c>
      <c r="T58" s="167" t="s">
        <v>362</v>
      </c>
      <c r="U58" s="167" t="s">
        <v>62</v>
      </c>
      <c r="V58" s="164">
        <v>1</v>
      </c>
      <c r="W58" s="167" t="s">
        <v>363</v>
      </c>
      <c r="X58" s="167">
        <v>1000</v>
      </c>
      <c r="Y58" s="167" t="s">
        <v>98</v>
      </c>
      <c r="Z58" s="168">
        <v>8</v>
      </c>
      <c r="AA58" s="166" t="s">
        <v>365</v>
      </c>
      <c r="AB58" s="216">
        <f>171.81/756.14</f>
        <v>0.22721982701616103</v>
      </c>
      <c r="AC58" s="54">
        <f>756.14/760</f>
        <v>0.99492105263157893</v>
      </c>
      <c r="AD58" s="54">
        <v>1.98</v>
      </c>
      <c r="AE58" s="196" t="s">
        <v>371</v>
      </c>
    </row>
    <row r="59" spans="1:31" ht="44.25" customHeight="1" x14ac:dyDescent="0.2">
      <c r="A59" s="205">
        <v>41109</v>
      </c>
      <c r="B59" s="15" t="s">
        <v>762</v>
      </c>
      <c r="C59" s="13" t="s">
        <v>368</v>
      </c>
      <c r="D59" s="2">
        <v>55</v>
      </c>
      <c r="E59" s="3">
        <v>3</v>
      </c>
      <c r="F59" s="3">
        <v>6</v>
      </c>
      <c r="G59" s="25" t="s">
        <v>29</v>
      </c>
      <c r="H59" s="9" t="s">
        <v>30</v>
      </c>
      <c r="I59" s="3">
        <v>0</v>
      </c>
      <c r="J59" s="11" t="s">
        <v>364</v>
      </c>
      <c r="K59" s="23" t="s">
        <v>367</v>
      </c>
      <c r="L59" s="4" t="s">
        <v>369</v>
      </c>
      <c r="M59" s="4">
        <v>50</v>
      </c>
      <c r="N59" s="24"/>
      <c r="O59" s="4">
        <v>8</v>
      </c>
      <c r="P59" s="4" t="s">
        <v>62</v>
      </c>
      <c r="Q59" s="142" t="s">
        <v>45</v>
      </c>
      <c r="R59" s="142" t="s">
        <v>84</v>
      </c>
      <c r="S59" s="142" t="s">
        <v>121</v>
      </c>
      <c r="T59" s="142" t="s">
        <v>299</v>
      </c>
      <c r="U59" s="142" t="s">
        <v>62</v>
      </c>
      <c r="V59" s="143">
        <v>1</v>
      </c>
      <c r="W59" s="142" t="s">
        <v>122</v>
      </c>
      <c r="X59" s="142">
        <v>1000</v>
      </c>
      <c r="Y59" s="142" t="s">
        <v>98</v>
      </c>
      <c r="Z59" s="144">
        <v>8</v>
      </c>
      <c r="AA59" s="145" t="s">
        <v>366</v>
      </c>
      <c r="AB59" s="216">
        <f>173/763</f>
        <v>0.22673656618610746</v>
      </c>
      <c r="AC59" s="54">
        <f>763/760</f>
        <v>1.0039473684210527</v>
      </c>
      <c r="AD59" s="54">
        <v>1.98</v>
      </c>
      <c r="AE59" s="192" t="s">
        <v>372</v>
      </c>
    </row>
    <row r="60" spans="1:31" ht="44.25" customHeight="1" x14ac:dyDescent="0.2">
      <c r="A60" s="205">
        <v>41109</v>
      </c>
      <c r="B60" s="15" t="s">
        <v>762</v>
      </c>
      <c r="C60" s="13" t="s">
        <v>383</v>
      </c>
      <c r="D60" s="2">
        <v>56</v>
      </c>
      <c r="E60" s="3">
        <v>15</v>
      </c>
      <c r="F60" s="3">
        <v>30</v>
      </c>
      <c r="G60" s="263" t="s">
        <v>373</v>
      </c>
      <c r="H60" s="9" t="s">
        <v>30</v>
      </c>
      <c r="I60" s="3">
        <v>0</v>
      </c>
      <c r="J60" s="11" t="s">
        <v>321</v>
      </c>
      <c r="K60" s="23" t="s">
        <v>374</v>
      </c>
      <c r="L60" s="4">
        <v>30</v>
      </c>
      <c r="M60" s="4">
        <v>50</v>
      </c>
      <c r="N60" s="24"/>
      <c r="O60" s="4">
        <v>8</v>
      </c>
      <c r="P60" s="4" t="s">
        <v>62</v>
      </c>
      <c r="Q60" s="142" t="s">
        <v>45</v>
      </c>
      <c r="R60" s="142" t="s">
        <v>84</v>
      </c>
      <c r="S60" s="142" t="s">
        <v>121</v>
      </c>
      <c r="T60" s="142" t="s">
        <v>375</v>
      </c>
      <c r="U60" s="142" t="s">
        <v>62</v>
      </c>
      <c r="V60" s="143">
        <v>1</v>
      </c>
      <c r="W60" s="142" t="s">
        <v>122</v>
      </c>
      <c r="X60" s="142">
        <v>1000</v>
      </c>
      <c r="Y60" s="142" t="s">
        <v>98</v>
      </c>
      <c r="Z60" s="144">
        <v>8</v>
      </c>
      <c r="AA60" s="145"/>
      <c r="AB60" s="216">
        <f>172.5/765.8</f>
        <v>0.225254635675111</v>
      </c>
      <c r="AC60" s="54">
        <f>765.8/760</f>
        <v>1.0076315789473684</v>
      </c>
      <c r="AD60" s="54">
        <v>1.98</v>
      </c>
      <c r="AE60" s="192" t="s">
        <v>378</v>
      </c>
    </row>
    <row r="61" spans="1:31" ht="44.25" customHeight="1" x14ac:dyDescent="0.2">
      <c r="A61" s="205">
        <v>41109</v>
      </c>
      <c r="B61" s="15" t="s">
        <v>762</v>
      </c>
      <c r="C61" s="13" t="s">
        <v>386</v>
      </c>
      <c r="D61" s="2">
        <v>57</v>
      </c>
      <c r="E61" s="3">
        <v>13</v>
      </c>
      <c r="F61" s="3">
        <v>28</v>
      </c>
      <c r="G61" s="14" t="s">
        <v>114</v>
      </c>
      <c r="H61" s="9" t="s">
        <v>30</v>
      </c>
      <c r="I61" s="3">
        <v>0</v>
      </c>
      <c r="J61" s="11" t="s">
        <v>376</v>
      </c>
      <c r="K61" s="23" t="s">
        <v>377</v>
      </c>
      <c r="L61" s="4">
        <v>15</v>
      </c>
      <c r="M61" s="4">
        <v>50</v>
      </c>
      <c r="N61" s="24"/>
      <c r="O61" s="4">
        <v>8</v>
      </c>
      <c r="P61" s="4" t="s">
        <v>62</v>
      </c>
      <c r="Q61" s="142" t="s">
        <v>45</v>
      </c>
      <c r="R61" s="142" t="s">
        <v>84</v>
      </c>
      <c r="S61" s="142" t="s">
        <v>121</v>
      </c>
      <c r="T61" s="142" t="s">
        <v>375</v>
      </c>
      <c r="U61" s="142" t="s">
        <v>62</v>
      </c>
      <c r="V61" s="143">
        <v>1</v>
      </c>
      <c r="W61" s="142" t="s">
        <v>122</v>
      </c>
      <c r="X61" s="142">
        <v>1000</v>
      </c>
      <c r="Y61" s="142" t="s">
        <v>98</v>
      </c>
      <c r="Z61" s="144">
        <v>6</v>
      </c>
      <c r="AA61" s="145" t="s">
        <v>290</v>
      </c>
      <c r="AB61" s="216">
        <f>172.5/765.8</f>
        <v>0.225254635675111</v>
      </c>
      <c r="AC61" s="54">
        <f>765.8/760</f>
        <v>1.0076315789473684</v>
      </c>
      <c r="AD61" s="54">
        <v>1.98</v>
      </c>
      <c r="AE61" s="192" t="s">
        <v>387</v>
      </c>
    </row>
    <row r="62" spans="1:31" ht="44.25" customHeight="1" x14ac:dyDescent="0.2">
      <c r="A62" s="205">
        <v>41109</v>
      </c>
      <c r="B62" s="15" t="s">
        <v>762</v>
      </c>
      <c r="C62" s="13" t="s">
        <v>384</v>
      </c>
      <c r="D62" s="2">
        <v>58</v>
      </c>
      <c r="E62" s="3">
        <v>17</v>
      </c>
      <c r="F62" s="3">
        <v>32</v>
      </c>
      <c r="G62" s="264" t="s">
        <v>297</v>
      </c>
      <c r="H62" s="9" t="s">
        <v>30</v>
      </c>
      <c r="I62" s="3">
        <v>0</v>
      </c>
      <c r="J62" s="11" t="s">
        <v>321</v>
      </c>
      <c r="K62" s="23" t="s">
        <v>379</v>
      </c>
      <c r="L62" s="4">
        <v>8</v>
      </c>
      <c r="M62" s="4">
        <v>50</v>
      </c>
      <c r="N62" s="24"/>
      <c r="O62" s="4">
        <v>8</v>
      </c>
      <c r="P62" s="4" t="s">
        <v>62</v>
      </c>
      <c r="Q62" s="142" t="s">
        <v>45</v>
      </c>
      <c r="R62" s="142" t="s">
        <v>84</v>
      </c>
      <c r="S62" s="142" t="s">
        <v>121</v>
      </c>
      <c r="T62" s="142" t="s">
        <v>375</v>
      </c>
      <c r="U62" s="142" t="s">
        <v>62</v>
      </c>
      <c r="V62" s="143">
        <v>1</v>
      </c>
      <c r="W62" s="142" t="s">
        <v>122</v>
      </c>
      <c r="X62" s="142">
        <v>1000</v>
      </c>
      <c r="Y62" s="142" t="s">
        <v>98</v>
      </c>
      <c r="Z62" s="144">
        <v>6</v>
      </c>
      <c r="AA62" s="145" t="s">
        <v>306</v>
      </c>
      <c r="AB62" s="216">
        <f>172.5/765.8</f>
        <v>0.225254635675111</v>
      </c>
      <c r="AC62" s="54">
        <f>765.8/760</f>
        <v>1.0076315789473684</v>
      </c>
      <c r="AD62" s="54">
        <v>1.98</v>
      </c>
      <c r="AE62" s="192" t="s">
        <v>385</v>
      </c>
    </row>
    <row r="63" spans="1:31" ht="44.25" customHeight="1" thickBot="1" x14ac:dyDescent="0.25">
      <c r="A63" s="206">
        <v>41109</v>
      </c>
      <c r="B63" s="15" t="s">
        <v>762</v>
      </c>
      <c r="C63" s="118" t="s">
        <v>388</v>
      </c>
      <c r="D63" s="119">
        <v>59</v>
      </c>
      <c r="E63" s="120">
        <v>114</v>
      </c>
      <c r="F63" s="120">
        <v>25</v>
      </c>
      <c r="G63" s="121" t="s">
        <v>380</v>
      </c>
      <c r="H63" s="122" t="s">
        <v>191</v>
      </c>
      <c r="I63" s="120">
        <v>0</v>
      </c>
      <c r="J63" s="123" t="s">
        <v>116</v>
      </c>
      <c r="K63" s="124" t="s">
        <v>235</v>
      </c>
      <c r="L63" s="125">
        <v>6.5</v>
      </c>
      <c r="M63" s="125">
        <v>50</v>
      </c>
      <c r="N63" s="126"/>
      <c r="O63" s="125">
        <v>8</v>
      </c>
      <c r="P63" s="125" t="s">
        <v>62</v>
      </c>
      <c r="Q63" s="184" t="s">
        <v>45</v>
      </c>
      <c r="R63" s="184" t="s">
        <v>84</v>
      </c>
      <c r="S63" s="184" t="s">
        <v>177</v>
      </c>
      <c r="T63" s="184">
        <v>-5</v>
      </c>
      <c r="U63" s="184" t="s">
        <v>62</v>
      </c>
      <c r="V63" s="186">
        <v>1</v>
      </c>
      <c r="W63" s="184" t="s">
        <v>139</v>
      </c>
      <c r="X63" s="184">
        <v>10000</v>
      </c>
      <c r="Y63" s="184" t="s">
        <v>98</v>
      </c>
      <c r="Z63" s="187">
        <v>6</v>
      </c>
      <c r="AA63" s="188" t="s">
        <v>210</v>
      </c>
      <c r="AB63" s="217">
        <f>172.36/765.8</f>
        <v>0.22507182031862108</v>
      </c>
      <c r="AC63" s="127">
        <f>765.8/760</f>
        <v>1.0076315789473684</v>
      </c>
      <c r="AD63" s="127">
        <v>1.98</v>
      </c>
      <c r="AE63" s="201" t="s">
        <v>381</v>
      </c>
    </row>
    <row r="64" spans="1:31" ht="44.25" customHeight="1" x14ac:dyDescent="0.2">
      <c r="A64" s="204">
        <v>41113</v>
      </c>
      <c r="B64" s="15" t="s">
        <v>763</v>
      </c>
      <c r="C64" s="15" t="s">
        <v>406</v>
      </c>
      <c r="D64" s="19">
        <v>60</v>
      </c>
      <c r="E64" s="52">
        <v>62</v>
      </c>
      <c r="F64" s="52">
        <v>23</v>
      </c>
      <c r="G64" s="34" t="s">
        <v>33</v>
      </c>
      <c r="H64" s="35" t="s">
        <v>188</v>
      </c>
      <c r="I64" s="52">
        <v>0</v>
      </c>
      <c r="J64" s="36" t="s">
        <v>389</v>
      </c>
      <c r="K64" s="37" t="s">
        <v>390</v>
      </c>
      <c r="L64" s="53" t="s">
        <v>391</v>
      </c>
      <c r="M64" s="53">
        <v>50</v>
      </c>
      <c r="N64" s="39"/>
      <c r="O64" s="53">
        <v>10</v>
      </c>
      <c r="P64" s="53"/>
      <c r="Q64" s="167" t="s">
        <v>67</v>
      </c>
      <c r="R64" s="167" t="s">
        <v>84</v>
      </c>
      <c r="S64" s="167" t="s">
        <v>47</v>
      </c>
      <c r="T64" s="167">
        <v>-4</v>
      </c>
      <c r="U64" s="167" t="s">
        <v>62</v>
      </c>
      <c r="V64" s="164">
        <v>1</v>
      </c>
      <c r="W64" s="167" t="s">
        <v>139</v>
      </c>
      <c r="X64" s="167">
        <v>1000</v>
      </c>
      <c r="Y64" s="167" t="s">
        <v>98</v>
      </c>
      <c r="Z64" s="168">
        <v>3</v>
      </c>
      <c r="AA64" s="166" t="s">
        <v>393</v>
      </c>
      <c r="AB64" s="216">
        <f>173.13/766.62</f>
        <v>0.22583548563825623</v>
      </c>
      <c r="AC64" s="54">
        <f>766.62/760</f>
        <v>1.0087105263157894</v>
      </c>
      <c r="AD64" s="54">
        <v>2.36</v>
      </c>
      <c r="AE64" s="196" t="s">
        <v>392</v>
      </c>
    </row>
    <row r="65" spans="1:31" ht="44.25" customHeight="1" x14ac:dyDescent="0.2">
      <c r="A65" s="205">
        <v>41113</v>
      </c>
      <c r="B65" s="15" t="s">
        <v>763</v>
      </c>
      <c r="C65" s="13" t="s">
        <v>397</v>
      </c>
      <c r="D65" s="2">
        <v>61</v>
      </c>
      <c r="E65" s="3">
        <v>63</v>
      </c>
      <c r="F65" s="3">
        <v>23</v>
      </c>
      <c r="G65" s="7" t="s">
        <v>33</v>
      </c>
      <c r="H65" s="9" t="s">
        <v>188</v>
      </c>
      <c r="I65" s="3">
        <v>0</v>
      </c>
      <c r="J65" s="11" t="s">
        <v>394</v>
      </c>
      <c r="K65" s="23" t="s">
        <v>395</v>
      </c>
      <c r="L65" s="4">
        <v>10</v>
      </c>
      <c r="M65" s="4">
        <v>50</v>
      </c>
      <c r="N65" s="24"/>
      <c r="O65" s="4" t="s">
        <v>396</v>
      </c>
      <c r="P65" s="4"/>
      <c r="Q65" s="142" t="s">
        <v>67</v>
      </c>
      <c r="R65" s="142" t="s">
        <v>84</v>
      </c>
      <c r="S65" s="142" t="s">
        <v>47</v>
      </c>
      <c r="T65" s="142">
        <v>-4</v>
      </c>
      <c r="U65" s="142" t="s">
        <v>62</v>
      </c>
      <c r="V65" s="143">
        <v>1</v>
      </c>
      <c r="W65" s="142" t="s">
        <v>139</v>
      </c>
      <c r="X65" s="142">
        <v>1000</v>
      </c>
      <c r="Y65" s="142" t="s">
        <v>98</v>
      </c>
      <c r="Z65" s="144">
        <v>3</v>
      </c>
      <c r="AA65" s="145" t="s">
        <v>295</v>
      </c>
      <c r="AB65" s="216">
        <f>173.13/766.62</f>
        <v>0.22583548563825623</v>
      </c>
      <c r="AC65" s="54">
        <f>766.62/760</f>
        <v>1.0087105263157894</v>
      </c>
      <c r="AD65" s="54">
        <v>2.36</v>
      </c>
      <c r="AE65" s="192" t="s">
        <v>398</v>
      </c>
    </row>
    <row r="66" spans="1:31" ht="44.25" customHeight="1" x14ac:dyDescent="0.2">
      <c r="A66" s="205">
        <v>41113</v>
      </c>
      <c r="B66" s="15" t="s">
        <v>763</v>
      </c>
      <c r="C66" s="13" t="s">
        <v>407</v>
      </c>
      <c r="D66" s="2">
        <v>62</v>
      </c>
      <c r="E66" s="3">
        <v>64</v>
      </c>
      <c r="F66" s="3">
        <v>23</v>
      </c>
      <c r="G66" s="7" t="s">
        <v>33</v>
      </c>
      <c r="H66" s="9" t="s">
        <v>188</v>
      </c>
      <c r="I66" s="3">
        <v>0</v>
      </c>
      <c r="J66" s="11" t="s">
        <v>394</v>
      </c>
      <c r="K66" s="23" t="s">
        <v>399</v>
      </c>
      <c r="L66" s="4">
        <v>5</v>
      </c>
      <c r="M66" s="4">
        <v>50</v>
      </c>
      <c r="N66" s="24"/>
      <c r="O66" s="4" t="s">
        <v>396</v>
      </c>
      <c r="P66" s="4"/>
      <c r="Q66" s="142" t="s">
        <v>67</v>
      </c>
      <c r="R66" s="142" t="s">
        <v>84</v>
      </c>
      <c r="S66" s="142" t="s">
        <v>47</v>
      </c>
      <c r="T66" s="142">
        <v>-4</v>
      </c>
      <c r="U66" s="142" t="s">
        <v>62</v>
      </c>
      <c r="V66" s="143">
        <v>1</v>
      </c>
      <c r="W66" s="142" t="s">
        <v>139</v>
      </c>
      <c r="X66" s="142">
        <v>1000</v>
      </c>
      <c r="Y66" s="142" t="s">
        <v>98</v>
      </c>
      <c r="Z66" s="144">
        <v>3</v>
      </c>
      <c r="AA66" s="145" t="s">
        <v>402</v>
      </c>
      <c r="AB66" s="216">
        <f>173.13/766.62</f>
        <v>0.22583548563825623</v>
      </c>
      <c r="AC66" s="54">
        <f>766.62/760</f>
        <v>1.0087105263157894</v>
      </c>
      <c r="AD66" s="54">
        <v>2.36</v>
      </c>
      <c r="AE66" s="192" t="s">
        <v>400</v>
      </c>
    </row>
    <row r="67" spans="1:31" ht="44.25" customHeight="1" x14ac:dyDescent="0.2">
      <c r="A67" s="205">
        <v>41113</v>
      </c>
      <c r="B67" s="15" t="s">
        <v>763</v>
      </c>
      <c r="C67" s="13" t="s">
        <v>404</v>
      </c>
      <c r="D67" s="2">
        <v>63</v>
      </c>
      <c r="E67" s="3">
        <v>65</v>
      </c>
      <c r="F67" s="3">
        <v>23</v>
      </c>
      <c r="G67" s="7" t="s">
        <v>33</v>
      </c>
      <c r="H67" s="9" t="s">
        <v>188</v>
      </c>
      <c r="I67" s="3">
        <v>0</v>
      </c>
      <c r="J67" s="11" t="s">
        <v>394</v>
      </c>
      <c r="K67" s="23" t="s">
        <v>399</v>
      </c>
      <c r="L67" s="4">
        <v>5</v>
      </c>
      <c r="M67" s="4">
        <v>50</v>
      </c>
      <c r="N67" s="24"/>
      <c r="O67" s="4" t="s">
        <v>401</v>
      </c>
      <c r="P67" s="4"/>
      <c r="Q67" s="142" t="s">
        <v>67</v>
      </c>
      <c r="R67" s="142" t="s">
        <v>84</v>
      </c>
      <c r="S67" s="142" t="s">
        <v>47</v>
      </c>
      <c r="T67" s="142">
        <v>-4</v>
      </c>
      <c r="U67" s="142" t="s">
        <v>62</v>
      </c>
      <c r="V67" s="143">
        <v>1</v>
      </c>
      <c r="W67" s="142" t="s">
        <v>139</v>
      </c>
      <c r="X67" s="142">
        <v>1000</v>
      </c>
      <c r="Y67" s="142" t="s">
        <v>98</v>
      </c>
      <c r="Z67" s="144">
        <v>3</v>
      </c>
      <c r="AA67" s="145" t="s">
        <v>405</v>
      </c>
      <c r="AB67" s="216">
        <f>173.13/766.62</f>
        <v>0.22583548563825623</v>
      </c>
      <c r="AC67" s="54">
        <f>766.62/760</f>
        <v>1.0087105263157894</v>
      </c>
      <c r="AD67" s="54">
        <v>2.36</v>
      </c>
      <c r="AE67" s="192" t="s">
        <v>403</v>
      </c>
    </row>
    <row r="68" spans="1:31" ht="44.25" customHeight="1" thickBot="1" x14ac:dyDescent="0.25">
      <c r="A68" s="205">
        <v>41113</v>
      </c>
      <c r="B68" s="15" t="s">
        <v>763</v>
      </c>
      <c r="C68" s="118" t="s">
        <v>408</v>
      </c>
      <c r="D68" s="119">
        <v>64</v>
      </c>
      <c r="E68" s="120">
        <v>118</v>
      </c>
      <c r="F68" s="120">
        <v>23</v>
      </c>
      <c r="G68" s="121" t="s">
        <v>33</v>
      </c>
      <c r="H68" s="122" t="s">
        <v>188</v>
      </c>
      <c r="I68" s="120">
        <v>0</v>
      </c>
      <c r="J68" s="123" t="s">
        <v>394</v>
      </c>
      <c r="K68" s="124" t="s">
        <v>239</v>
      </c>
      <c r="L68" s="125"/>
      <c r="M68" s="125">
        <v>50</v>
      </c>
      <c r="N68" s="126"/>
      <c r="O68" s="125" t="s">
        <v>401</v>
      </c>
      <c r="P68" s="125"/>
      <c r="Q68" s="184" t="s">
        <v>67</v>
      </c>
      <c r="R68" s="184" t="s">
        <v>84</v>
      </c>
      <c r="S68" s="184" t="s">
        <v>47</v>
      </c>
      <c r="T68" s="184">
        <v>-4</v>
      </c>
      <c r="U68" s="184" t="s">
        <v>62</v>
      </c>
      <c r="V68" s="186">
        <v>1</v>
      </c>
      <c r="W68" s="184" t="s">
        <v>139</v>
      </c>
      <c r="X68" s="184">
        <v>1000</v>
      </c>
      <c r="Y68" s="184" t="s">
        <v>98</v>
      </c>
      <c r="Z68" s="187">
        <v>4</v>
      </c>
      <c r="AA68" s="188"/>
      <c r="AB68" s="217">
        <f>173.13/766.62</f>
        <v>0.22583548563825623</v>
      </c>
      <c r="AC68" s="127">
        <f>766.62/760</f>
        <v>1.0087105263157894</v>
      </c>
      <c r="AD68" s="127">
        <v>2.36</v>
      </c>
      <c r="AE68" s="201" t="s">
        <v>415</v>
      </c>
    </row>
    <row r="69" spans="1:31" ht="44.25" customHeight="1" x14ac:dyDescent="0.2">
      <c r="A69" s="208" t="s">
        <v>410</v>
      </c>
      <c r="B69" s="346" t="s">
        <v>764</v>
      </c>
      <c r="C69" s="209">
        <v>216</v>
      </c>
      <c r="D69" s="209"/>
      <c r="E69" s="209"/>
      <c r="F69" s="210"/>
      <c r="G69" s="211" t="s">
        <v>411</v>
      </c>
      <c r="H69" s="209"/>
      <c r="I69" s="212"/>
      <c r="J69" s="211"/>
      <c r="K69" s="209"/>
      <c r="L69" s="209"/>
      <c r="M69" s="212"/>
      <c r="N69" s="209"/>
      <c r="O69" s="209"/>
      <c r="P69" s="209"/>
      <c r="Q69" s="209"/>
      <c r="R69" s="209"/>
      <c r="S69" s="209"/>
      <c r="T69" s="209"/>
      <c r="U69" s="210"/>
      <c r="V69" s="209"/>
      <c r="W69" s="209"/>
      <c r="X69" s="209"/>
      <c r="Y69" s="213"/>
      <c r="Z69" s="212"/>
      <c r="AA69" s="209"/>
      <c r="AB69" s="209"/>
      <c r="AC69" s="209"/>
      <c r="AD69" s="209"/>
      <c r="AE69" s="214" t="s">
        <v>409</v>
      </c>
    </row>
    <row r="70" spans="1:31" ht="44.25" customHeight="1" x14ac:dyDescent="0.2">
      <c r="A70" s="13" t="s">
        <v>412</v>
      </c>
      <c r="B70" s="13" t="s">
        <v>757</v>
      </c>
      <c r="C70" s="229">
        <v>9.2570601851851855</v>
      </c>
      <c r="D70" s="3">
        <v>65</v>
      </c>
      <c r="E70" s="3">
        <v>11</v>
      </c>
      <c r="F70" s="7">
        <v>3</v>
      </c>
      <c r="G70" s="268" t="s">
        <v>113</v>
      </c>
      <c r="H70" s="3" t="s">
        <v>30</v>
      </c>
      <c r="I70" s="9" t="s">
        <v>117</v>
      </c>
      <c r="J70" s="23" t="s">
        <v>417</v>
      </c>
      <c r="K70" s="4">
        <v>98</v>
      </c>
      <c r="L70" s="4">
        <v>20</v>
      </c>
      <c r="M70" s="23" t="s">
        <v>181</v>
      </c>
      <c r="N70" s="4"/>
      <c r="O70" s="4">
        <v>8</v>
      </c>
      <c r="P70" s="142" t="s">
        <v>62</v>
      </c>
      <c r="Q70" s="142" t="s">
        <v>45</v>
      </c>
      <c r="R70" s="142" t="s">
        <v>84</v>
      </c>
      <c r="S70" s="142" t="s">
        <v>121</v>
      </c>
      <c r="T70" s="142" t="s">
        <v>413</v>
      </c>
      <c r="U70" s="143" t="s">
        <v>62</v>
      </c>
      <c r="V70" s="142">
        <v>1</v>
      </c>
      <c r="W70" s="142" t="s">
        <v>122</v>
      </c>
      <c r="X70" s="142">
        <v>1000</v>
      </c>
      <c r="Y70" s="144" t="s">
        <v>98</v>
      </c>
      <c r="Z70" s="215" t="s">
        <v>414</v>
      </c>
      <c r="AA70" s="167" t="s">
        <v>419</v>
      </c>
      <c r="AB70" s="216">
        <f>162/752.92</f>
        <v>0.215162301439728</v>
      </c>
      <c r="AC70" s="54">
        <f>752.92/760</f>
        <v>0.99068421052631572</v>
      </c>
      <c r="AD70" s="54">
        <v>2.44</v>
      </c>
      <c r="AE70" s="192" t="s">
        <v>420</v>
      </c>
    </row>
    <row r="71" spans="1:31" ht="44.25" customHeight="1" x14ac:dyDescent="0.2">
      <c r="A71" s="13" t="s">
        <v>412</v>
      </c>
      <c r="B71" s="13" t="s">
        <v>757</v>
      </c>
      <c r="C71" s="229">
        <v>9.2621990740740738</v>
      </c>
      <c r="D71" s="3">
        <v>66</v>
      </c>
      <c r="E71" s="3">
        <v>9</v>
      </c>
      <c r="F71" s="7">
        <v>7</v>
      </c>
      <c r="G71" s="268" t="s">
        <v>29</v>
      </c>
      <c r="H71" s="3" t="s">
        <v>30</v>
      </c>
      <c r="I71" s="9" t="s">
        <v>117</v>
      </c>
      <c r="J71" s="23" t="s">
        <v>418</v>
      </c>
      <c r="K71" s="4" t="s">
        <v>422</v>
      </c>
      <c r="L71" s="4" t="s">
        <v>421</v>
      </c>
      <c r="M71" s="23" t="s">
        <v>181</v>
      </c>
      <c r="N71" s="4"/>
      <c r="O71" s="4">
        <v>8</v>
      </c>
      <c r="P71" s="142" t="s">
        <v>62</v>
      </c>
      <c r="Q71" s="142" t="s">
        <v>45</v>
      </c>
      <c r="R71" s="142" t="s">
        <v>84</v>
      </c>
      <c r="S71" s="142" t="s">
        <v>121</v>
      </c>
      <c r="T71" s="142" t="s">
        <v>416</v>
      </c>
      <c r="U71" s="143" t="s">
        <v>62</v>
      </c>
      <c r="V71" s="142">
        <v>1</v>
      </c>
      <c r="W71" s="142" t="s">
        <v>122</v>
      </c>
      <c r="X71" s="142">
        <v>1000</v>
      </c>
      <c r="Y71" s="144" t="s">
        <v>98</v>
      </c>
      <c r="Z71" s="215" t="s">
        <v>414</v>
      </c>
      <c r="AA71" s="167">
        <v>104</v>
      </c>
      <c r="AB71" s="216">
        <f>162.47/752.9</f>
        <v>0.21579226988975961</v>
      </c>
      <c r="AC71" s="54">
        <f>752.9/760</f>
        <v>0.99065789473684207</v>
      </c>
      <c r="AD71" s="54">
        <v>2.5</v>
      </c>
      <c r="AE71" s="192" t="s">
        <v>426</v>
      </c>
    </row>
    <row r="72" spans="1:31" ht="44.25" customHeight="1" thickBot="1" x14ac:dyDescent="0.25">
      <c r="A72" s="13" t="s">
        <v>412</v>
      </c>
      <c r="B72" s="13" t="s">
        <v>757</v>
      </c>
      <c r="C72" s="231">
        <v>9.2623958333333345</v>
      </c>
      <c r="D72" s="120">
        <v>67</v>
      </c>
      <c r="E72" s="120">
        <v>102</v>
      </c>
      <c r="F72" s="121">
        <v>22</v>
      </c>
      <c r="G72" s="122" t="s">
        <v>33</v>
      </c>
      <c r="H72" s="120" t="s">
        <v>423</v>
      </c>
      <c r="I72" s="122" t="s">
        <v>117</v>
      </c>
      <c r="J72" s="124" t="s">
        <v>424</v>
      </c>
      <c r="K72" s="125">
        <v>51</v>
      </c>
      <c r="L72" s="125">
        <v>5</v>
      </c>
      <c r="M72" s="126" t="s">
        <v>181</v>
      </c>
      <c r="N72" s="125"/>
      <c r="O72" s="125">
        <v>8</v>
      </c>
      <c r="P72" s="184" t="s">
        <v>62</v>
      </c>
      <c r="Q72" s="184" t="s">
        <v>45</v>
      </c>
      <c r="R72" s="184" t="s">
        <v>84</v>
      </c>
      <c r="S72" s="184" t="s">
        <v>47</v>
      </c>
      <c r="T72" s="184">
        <v>-5</v>
      </c>
      <c r="U72" s="186" t="s">
        <v>62</v>
      </c>
      <c r="V72" s="184">
        <v>1</v>
      </c>
      <c r="W72" s="184" t="s">
        <v>139</v>
      </c>
      <c r="X72" s="184">
        <v>1000</v>
      </c>
      <c r="Y72" s="187" t="s">
        <v>98</v>
      </c>
      <c r="Z72" s="232" t="s">
        <v>414</v>
      </c>
      <c r="AA72" s="184">
        <v>82</v>
      </c>
      <c r="AB72" s="217">
        <f>162.47/752.9</f>
        <v>0.21579226988975961</v>
      </c>
      <c r="AC72" s="127">
        <f>752.9/760</f>
        <v>0.99065789473684207</v>
      </c>
      <c r="AD72" s="127">
        <v>2.5</v>
      </c>
      <c r="AE72" s="201" t="s">
        <v>425</v>
      </c>
    </row>
    <row r="73" spans="1:31" ht="44.25" customHeight="1" x14ac:dyDescent="0.2">
      <c r="A73" s="13" t="s">
        <v>508</v>
      </c>
      <c r="B73" s="15" t="s">
        <v>765</v>
      </c>
      <c r="C73" s="15" t="s">
        <v>433</v>
      </c>
      <c r="D73" s="52">
        <v>68</v>
      </c>
      <c r="E73" s="52" t="s">
        <v>439</v>
      </c>
      <c r="F73" s="34">
        <v>36</v>
      </c>
      <c r="G73" s="269" t="s">
        <v>431</v>
      </c>
      <c r="H73" s="233" t="s">
        <v>190</v>
      </c>
      <c r="I73" s="35" t="s">
        <v>117</v>
      </c>
      <c r="J73" s="37" t="s">
        <v>117</v>
      </c>
      <c r="K73" s="38" t="s">
        <v>435</v>
      </c>
      <c r="L73" s="53">
        <v>0</v>
      </c>
      <c r="M73" s="37" t="s">
        <v>432</v>
      </c>
      <c r="N73" s="53"/>
      <c r="O73" s="53">
        <v>8</v>
      </c>
      <c r="P73" s="167" t="s">
        <v>62</v>
      </c>
      <c r="Q73" s="167" t="s">
        <v>45</v>
      </c>
      <c r="R73" s="167" t="s">
        <v>46</v>
      </c>
      <c r="S73" s="167" t="s">
        <v>47</v>
      </c>
      <c r="T73" s="167">
        <v>-5</v>
      </c>
      <c r="U73" s="164" t="s">
        <v>429</v>
      </c>
      <c r="V73" s="167" t="s">
        <v>62</v>
      </c>
      <c r="W73" s="167" t="s">
        <v>139</v>
      </c>
      <c r="X73" s="167">
        <v>800</v>
      </c>
      <c r="Y73" s="168" t="s">
        <v>430</v>
      </c>
      <c r="Z73" s="230" t="s">
        <v>117</v>
      </c>
      <c r="AA73" s="167" t="s">
        <v>434</v>
      </c>
      <c r="AB73" s="216">
        <f t="shared" ref="AB73:AB80" si="2">157/(582+157)</f>
        <v>0.21244925575101489</v>
      </c>
      <c r="AC73" s="54">
        <f t="shared" ref="AC73:AC80" si="3">(157+582)/760</f>
        <v>0.97236842105263155</v>
      </c>
      <c r="AD73" s="54">
        <v>2.54</v>
      </c>
      <c r="AE73" s="196" t="s">
        <v>463</v>
      </c>
    </row>
    <row r="74" spans="1:31" ht="44.25" customHeight="1" x14ac:dyDescent="0.2">
      <c r="A74" s="13" t="s">
        <v>508</v>
      </c>
      <c r="B74" s="15" t="s">
        <v>765</v>
      </c>
      <c r="C74" s="234">
        <v>9.5497106481481477</v>
      </c>
      <c r="D74" s="52">
        <v>69</v>
      </c>
      <c r="E74" s="52" t="s">
        <v>438</v>
      </c>
      <c r="F74" s="34">
        <v>36</v>
      </c>
      <c r="G74" s="269" t="s">
        <v>431</v>
      </c>
      <c r="H74" s="233" t="s">
        <v>190</v>
      </c>
      <c r="I74" s="35" t="s">
        <v>117</v>
      </c>
      <c r="J74" s="37" t="s">
        <v>445</v>
      </c>
      <c r="K74" s="38" t="s">
        <v>436</v>
      </c>
      <c r="L74" s="53" t="s">
        <v>443</v>
      </c>
      <c r="M74" s="37" t="s">
        <v>432</v>
      </c>
      <c r="N74" s="53"/>
      <c r="O74" s="53">
        <v>8</v>
      </c>
      <c r="P74" s="167" t="s">
        <v>62</v>
      </c>
      <c r="Q74" s="167" t="s">
        <v>45</v>
      </c>
      <c r="R74" s="167" t="s">
        <v>46</v>
      </c>
      <c r="S74" s="167" t="s">
        <v>47</v>
      </c>
      <c r="T74" s="167">
        <v>-5</v>
      </c>
      <c r="U74" s="164" t="s">
        <v>429</v>
      </c>
      <c r="V74" s="167" t="s">
        <v>62</v>
      </c>
      <c r="W74" s="167" t="s">
        <v>139</v>
      </c>
      <c r="X74" s="167">
        <v>800</v>
      </c>
      <c r="Y74" s="168" t="s">
        <v>430</v>
      </c>
      <c r="Z74" s="230" t="s">
        <v>117</v>
      </c>
      <c r="AA74" s="167" t="s">
        <v>437</v>
      </c>
      <c r="AB74" s="216">
        <f t="shared" si="2"/>
        <v>0.21244925575101489</v>
      </c>
      <c r="AC74" s="54">
        <f t="shared" si="3"/>
        <v>0.97236842105263155</v>
      </c>
      <c r="AD74" s="54">
        <v>2.54</v>
      </c>
      <c r="AE74" s="196" t="s">
        <v>440</v>
      </c>
    </row>
    <row r="75" spans="1:31" ht="44.25" customHeight="1" x14ac:dyDescent="0.2">
      <c r="A75" s="13" t="s">
        <v>508</v>
      </c>
      <c r="B75" s="15" t="s">
        <v>765</v>
      </c>
      <c r="C75" s="234">
        <v>9.5498958333333324</v>
      </c>
      <c r="D75" s="52">
        <v>70</v>
      </c>
      <c r="E75" s="52" t="s">
        <v>441</v>
      </c>
      <c r="F75" s="34">
        <v>36</v>
      </c>
      <c r="G75" s="269" t="s">
        <v>431</v>
      </c>
      <c r="H75" s="233" t="s">
        <v>190</v>
      </c>
      <c r="I75" s="35" t="s">
        <v>117</v>
      </c>
      <c r="J75" s="37" t="s">
        <v>445</v>
      </c>
      <c r="K75" s="38" t="s">
        <v>446</v>
      </c>
      <c r="L75" s="53" t="s">
        <v>444</v>
      </c>
      <c r="M75" s="37" t="s">
        <v>432</v>
      </c>
      <c r="N75" s="53"/>
      <c r="O75" s="53">
        <v>8</v>
      </c>
      <c r="P75" s="167" t="s">
        <v>62</v>
      </c>
      <c r="Q75" s="167" t="s">
        <v>45</v>
      </c>
      <c r="R75" s="167" t="s">
        <v>46</v>
      </c>
      <c r="S75" s="167" t="s">
        <v>47</v>
      </c>
      <c r="T75" s="167">
        <v>-5</v>
      </c>
      <c r="U75" s="164" t="s">
        <v>429</v>
      </c>
      <c r="V75" s="167" t="s">
        <v>62</v>
      </c>
      <c r="W75" s="167" t="s">
        <v>139</v>
      </c>
      <c r="X75" s="167">
        <v>800</v>
      </c>
      <c r="Y75" s="168" t="s">
        <v>430</v>
      </c>
      <c r="Z75" s="230" t="s">
        <v>117</v>
      </c>
      <c r="AA75" s="167" t="s">
        <v>442</v>
      </c>
      <c r="AB75" s="216">
        <f t="shared" si="2"/>
        <v>0.21244925575101489</v>
      </c>
      <c r="AC75" s="54">
        <f t="shared" si="3"/>
        <v>0.97236842105263155</v>
      </c>
      <c r="AD75" s="54">
        <v>2.54</v>
      </c>
      <c r="AE75" s="196" t="s">
        <v>447</v>
      </c>
    </row>
    <row r="76" spans="1:31" ht="44.25" customHeight="1" x14ac:dyDescent="0.2">
      <c r="A76" s="13" t="s">
        <v>508</v>
      </c>
      <c r="B76" s="15" t="s">
        <v>765</v>
      </c>
      <c r="C76" s="234">
        <v>9.5506481481481487</v>
      </c>
      <c r="D76" s="52">
        <v>71</v>
      </c>
      <c r="E76" s="52" t="s">
        <v>453</v>
      </c>
      <c r="F76" s="34">
        <v>37</v>
      </c>
      <c r="G76" s="269" t="s">
        <v>431</v>
      </c>
      <c r="H76" s="233" t="s">
        <v>190</v>
      </c>
      <c r="I76" s="35" t="s">
        <v>117</v>
      </c>
      <c r="J76" s="37" t="s">
        <v>445</v>
      </c>
      <c r="K76" s="38" t="s">
        <v>449</v>
      </c>
      <c r="L76" s="53" t="s">
        <v>443</v>
      </c>
      <c r="M76" s="37" t="s">
        <v>432</v>
      </c>
      <c r="N76" s="53" t="s">
        <v>450</v>
      </c>
      <c r="O76" s="53">
        <v>8</v>
      </c>
      <c r="P76" s="167" t="s">
        <v>62</v>
      </c>
      <c r="Q76" s="167" t="s">
        <v>45</v>
      </c>
      <c r="R76" s="167" t="s">
        <v>46</v>
      </c>
      <c r="S76" s="167" t="s">
        <v>428</v>
      </c>
      <c r="T76" s="167">
        <v>-5</v>
      </c>
      <c r="U76" s="164" t="s">
        <v>429</v>
      </c>
      <c r="V76" s="167" t="s">
        <v>62</v>
      </c>
      <c r="W76" s="167" t="s">
        <v>139</v>
      </c>
      <c r="X76" s="167">
        <v>800</v>
      </c>
      <c r="Y76" s="168" t="s">
        <v>430</v>
      </c>
      <c r="Z76" s="230" t="s">
        <v>414</v>
      </c>
      <c r="AA76" s="167" t="s">
        <v>448</v>
      </c>
      <c r="AB76" s="216">
        <f t="shared" si="2"/>
        <v>0.21244925575101489</v>
      </c>
      <c r="AC76" s="54">
        <f t="shared" si="3"/>
        <v>0.97236842105263155</v>
      </c>
      <c r="AD76" s="54">
        <v>2.54</v>
      </c>
      <c r="AE76" s="196" t="s">
        <v>458</v>
      </c>
    </row>
    <row r="77" spans="1:31" ht="44.25" customHeight="1" x14ac:dyDescent="0.2">
      <c r="A77" s="13" t="s">
        <v>508</v>
      </c>
      <c r="B77" s="15" t="s">
        <v>765</v>
      </c>
      <c r="C77" s="15" t="s">
        <v>462</v>
      </c>
      <c r="D77" s="233" t="s">
        <v>451</v>
      </c>
      <c r="E77" s="233" t="s">
        <v>452</v>
      </c>
      <c r="F77" s="35" t="s">
        <v>454</v>
      </c>
      <c r="G77" s="269" t="s">
        <v>431</v>
      </c>
      <c r="H77" s="233" t="s">
        <v>190</v>
      </c>
      <c r="I77" s="35" t="s">
        <v>117</v>
      </c>
      <c r="J77" s="37" t="s">
        <v>445</v>
      </c>
      <c r="K77" s="37" t="s">
        <v>460</v>
      </c>
      <c r="L77" s="235" t="s">
        <v>443</v>
      </c>
      <c r="M77" s="37" t="s">
        <v>432</v>
      </c>
      <c r="N77" s="235"/>
      <c r="O77" s="235" t="s">
        <v>455</v>
      </c>
      <c r="P77" s="236" t="s">
        <v>62</v>
      </c>
      <c r="Q77" s="236" t="s">
        <v>45</v>
      </c>
      <c r="R77" s="236" t="s">
        <v>46</v>
      </c>
      <c r="S77" s="236" t="s">
        <v>47</v>
      </c>
      <c r="T77" s="236" t="s">
        <v>456</v>
      </c>
      <c r="U77" s="230" t="s">
        <v>429</v>
      </c>
      <c r="V77" s="236" t="s">
        <v>62</v>
      </c>
      <c r="W77" s="236" t="s">
        <v>139</v>
      </c>
      <c r="X77" s="236" t="s">
        <v>457</v>
      </c>
      <c r="Y77" s="237" t="s">
        <v>430</v>
      </c>
      <c r="Z77" s="230" t="s">
        <v>414</v>
      </c>
      <c r="AA77" s="167" t="s">
        <v>459</v>
      </c>
      <c r="AB77" s="216">
        <f t="shared" si="2"/>
        <v>0.21244925575101489</v>
      </c>
      <c r="AC77" s="54">
        <f t="shared" si="3"/>
        <v>0.97236842105263155</v>
      </c>
      <c r="AD77" s="54">
        <v>2.54</v>
      </c>
      <c r="AE77" s="196" t="s">
        <v>461</v>
      </c>
    </row>
    <row r="78" spans="1:31" ht="44.25" customHeight="1" x14ac:dyDescent="0.2">
      <c r="A78" s="13" t="s">
        <v>508</v>
      </c>
      <c r="B78" s="15" t="s">
        <v>765</v>
      </c>
      <c r="C78" s="15" t="s">
        <v>473</v>
      </c>
      <c r="D78" s="233" t="s">
        <v>339</v>
      </c>
      <c r="E78" s="233" t="s">
        <v>464</v>
      </c>
      <c r="F78" s="35" t="s">
        <v>236</v>
      </c>
      <c r="G78" s="269" t="s">
        <v>431</v>
      </c>
      <c r="H78" s="233" t="s">
        <v>190</v>
      </c>
      <c r="I78" s="35" t="s">
        <v>117</v>
      </c>
      <c r="J78" s="37" t="s">
        <v>445</v>
      </c>
      <c r="K78" s="37" t="s">
        <v>467</v>
      </c>
      <c r="L78" s="235" t="s">
        <v>443</v>
      </c>
      <c r="M78" s="37" t="s">
        <v>432</v>
      </c>
      <c r="N78" s="235"/>
      <c r="O78" s="235" t="s">
        <v>455</v>
      </c>
      <c r="P78" s="236" t="s">
        <v>62</v>
      </c>
      <c r="Q78" s="236" t="s">
        <v>45</v>
      </c>
      <c r="R78" s="236" t="s">
        <v>46</v>
      </c>
      <c r="S78" s="236" t="s">
        <v>47</v>
      </c>
      <c r="T78" s="236" t="s">
        <v>456</v>
      </c>
      <c r="U78" s="230" t="s">
        <v>429</v>
      </c>
      <c r="V78" s="236" t="s">
        <v>62</v>
      </c>
      <c r="W78" s="236" t="s">
        <v>139</v>
      </c>
      <c r="X78" s="236" t="s">
        <v>457</v>
      </c>
      <c r="Y78" s="237" t="s">
        <v>430</v>
      </c>
      <c r="Z78" s="230" t="s">
        <v>414</v>
      </c>
      <c r="AA78" s="167" t="s">
        <v>466</v>
      </c>
      <c r="AB78" s="216">
        <f t="shared" si="2"/>
        <v>0.21244925575101489</v>
      </c>
      <c r="AC78" s="54">
        <f t="shared" si="3"/>
        <v>0.97236842105263155</v>
      </c>
      <c r="AD78" s="54">
        <v>2.54</v>
      </c>
      <c r="AE78" s="196" t="s">
        <v>468</v>
      </c>
    </row>
    <row r="79" spans="1:31" ht="44.25" customHeight="1" x14ac:dyDescent="0.2">
      <c r="A79" s="13" t="s">
        <v>508</v>
      </c>
      <c r="B79" s="15" t="s">
        <v>765</v>
      </c>
      <c r="C79" s="15" t="s">
        <v>469</v>
      </c>
      <c r="D79" s="233" t="s">
        <v>271</v>
      </c>
      <c r="E79" s="233" t="s">
        <v>465</v>
      </c>
      <c r="F79" s="35" t="s">
        <v>236</v>
      </c>
      <c r="G79" s="269" t="s">
        <v>431</v>
      </c>
      <c r="H79" s="233" t="s">
        <v>190</v>
      </c>
      <c r="I79" s="35" t="s">
        <v>117</v>
      </c>
      <c r="J79" s="37" t="s">
        <v>445</v>
      </c>
      <c r="K79" s="37" t="s">
        <v>472</v>
      </c>
      <c r="L79" s="235" t="s">
        <v>443</v>
      </c>
      <c r="M79" s="37" t="s">
        <v>432</v>
      </c>
      <c r="N79" s="235"/>
      <c r="O79" s="235" t="s">
        <v>141</v>
      </c>
      <c r="P79" s="236" t="s">
        <v>471</v>
      </c>
      <c r="Q79" s="236" t="s">
        <v>45</v>
      </c>
      <c r="R79" s="236" t="s">
        <v>46</v>
      </c>
      <c r="S79" s="236" t="s">
        <v>47</v>
      </c>
      <c r="T79" s="236" t="s">
        <v>456</v>
      </c>
      <c r="U79" s="230" t="s">
        <v>429</v>
      </c>
      <c r="V79" s="236" t="s">
        <v>62</v>
      </c>
      <c r="W79" s="236" t="s">
        <v>139</v>
      </c>
      <c r="X79" s="236" t="s">
        <v>457</v>
      </c>
      <c r="Y79" s="237" t="s">
        <v>430</v>
      </c>
      <c r="Z79" s="230" t="s">
        <v>414</v>
      </c>
      <c r="AA79" s="167" t="s">
        <v>470</v>
      </c>
      <c r="AB79" s="216">
        <f t="shared" si="2"/>
        <v>0.21244925575101489</v>
      </c>
      <c r="AC79" s="54">
        <f t="shared" si="3"/>
        <v>0.97236842105263155</v>
      </c>
      <c r="AD79" s="54">
        <v>2.54</v>
      </c>
      <c r="AE79" s="196" t="s">
        <v>474</v>
      </c>
    </row>
    <row r="80" spans="1:31" ht="44.25" customHeight="1" thickBot="1" x14ac:dyDescent="0.25">
      <c r="A80" s="118" t="s">
        <v>508</v>
      </c>
      <c r="B80" s="15" t="s">
        <v>765</v>
      </c>
      <c r="C80" s="118" t="s">
        <v>481</v>
      </c>
      <c r="D80" s="238" t="s">
        <v>130</v>
      </c>
      <c r="E80" s="238" t="s">
        <v>476</v>
      </c>
      <c r="F80" s="122" t="s">
        <v>236</v>
      </c>
      <c r="G80" s="270" t="s">
        <v>431</v>
      </c>
      <c r="H80" s="238" t="s">
        <v>190</v>
      </c>
      <c r="I80" s="122" t="s">
        <v>117</v>
      </c>
      <c r="J80" s="124" t="s">
        <v>445</v>
      </c>
      <c r="K80" s="124" t="s">
        <v>479</v>
      </c>
      <c r="L80" s="239" t="s">
        <v>480</v>
      </c>
      <c r="M80" s="124" t="s">
        <v>432</v>
      </c>
      <c r="N80" s="239"/>
      <c r="O80" s="239" t="s">
        <v>141</v>
      </c>
      <c r="P80" s="240" t="s">
        <v>62</v>
      </c>
      <c r="Q80" s="240" t="s">
        <v>45</v>
      </c>
      <c r="R80" s="240" t="s">
        <v>46</v>
      </c>
      <c r="S80" s="240" t="s">
        <v>47</v>
      </c>
      <c r="T80" s="240" t="s">
        <v>456</v>
      </c>
      <c r="U80" s="232" t="s">
        <v>429</v>
      </c>
      <c r="V80" s="240" t="s">
        <v>62</v>
      </c>
      <c r="W80" s="240" t="s">
        <v>139</v>
      </c>
      <c r="X80" s="240" t="s">
        <v>457</v>
      </c>
      <c r="Y80" s="241" t="s">
        <v>430</v>
      </c>
      <c r="Z80" s="232" t="s">
        <v>475</v>
      </c>
      <c r="AA80" s="184" t="s">
        <v>477</v>
      </c>
      <c r="AB80" s="217">
        <f t="shared" si="2"/>
        <v>0.21244925575101489</v>
      </c>
      <c r="AC80" s="127">
        <f t="shared" si="3"/>
        <v>0.97236842105263155</v>
      </c>
      <c r="AD80" s="127">
        <v>2.54</v>
      </c>
      <c r="AE80" s="201" t="s">
        <v>478</v>
      </c>
    </row>
    <row r="81" spans="1:31" ht="44.25" customHeight="1" x14ac:dyDescent="0.2">
      <c r="A81" s="99">
        <v>41142</v>
      </c>
      <c r="B81" s="15" t="s">
        <v>766</v>
      </c>
      <c r="C81" s="15" t="s">
        <v>487</v>
      </c>
      <c r="D81" s="233" t="s">
        <v>366</v>
      </c>
      <c r="E81" s="233" t="s">
        <v>483</v>
      </c>
      <c r="F81" s="35" t="s">
        <v>484</v>
      </c>
      <c r="G81" s="271" t="s">
        <v>275</v>
      </c>
      <c r="H81" s="233" t="s">
        <v>189</v>
      </c>
      <c r="I81" s="35" t="s">
        <v>117</v>
      </c>
      <c r="J81" s="11" t="s">
        <v>276</v>
      </c>
      <c r="K81" s="23" t="s">
        <v>490</v>
      </c>
      <c r="L81" s="4" t="s">
        <v>491</v>
      </c>
      <c r="M81" s="4">
        <v>250</v>
      </c>
      <c r="N81" s="24"/>
      <c r="O81" s="4">
        <v>8</v>
      </c>
      <c r="P81" s="4" t="s">
        <v>62</v>
      </c>
      <c r="Q81" s="142" t="s">
        <v>45</v>
      </c>
      <c r="R81" s="142" t="s">
        <v>84</v>
      </c>
      <c r="S81" s="142" t="s">
        <v>47</v>
      </c>
      <c r="T81" s="142">
        <v>-5</v>
      </c>
      <c r="U81" s="142" t="s">
        <v>62</v>
      </c>
      <c r="V81" s="143">
        <v>1</v>
      </c>
      <c r="W81" s="142" t="s">
        <v>139</v>
      </c>
      <c r="X81" s="142">
        <v>1000</v>
      </c>
      <c r="Y81" s="142" t="s">
        <v>98</v>
      </c>
      <c r="Z81" s="230" t="s">
        <v>482</v>
      </c>
      <c r="AA81" s="167" t="s">
        <v>486</v>
      </c>
      <c r="AB81" s="216">
        <f>162.14/739.22</f>
        <v>0.21933930359027079</v>
      </c>
      <c r="AC81" s="54">
        <f>739.22/760</f>
        <v>0.97265789473684217</v>
      </c>
      <c r="AD81" s="54">
        <v>1.98</v>
      </c>
      <c r="AE81" s="196" t="s">
        <v>492</v>
      </c>
    </row>
    <row r="82" spans="1:31" ht="44.25" customHeight="1" x14ac:dyDescent="0.2">
      <c r="A82" s="100">
        <v>41142</v>
      </c>
      <c r="B82" s="15" t="s">
        <v>766</v>
      </c>
      <c r="C82" s="15" t="s">
        <v>495</v>
      </c>
      <c r="D82" s="233" t="s">
        <v>488</v>
      </c>
      <c r="E82" s="233" t="s">
        <v>489</v>
      </c>
      <c r="F82" s="35" t="s">
        <v>484</v>
      </c>
      <c r="G82" s="271" t="s">
        <v>275</v>
      </c>
      <c r="H82" s="233" t="s">
        <v>190</v>
      </c>
      <c r="I82" s="35" t="s">
        <v>117</v>
      </c>
      <c r="J82" s="37" t="s">
        <v>276</v>
      </c>
      <c r="K82" s="235" t="s">
        <v>485</v>
      </c>
      <c r="L82" s="235" t="s">
        <v>493</v>
      </c>
      <c r="M82" s="37" t="s">
        <v>432</v>
      </c>
      <c r="N82" s="235"/>
      <c r="O82" s="235" t="s">
        <v>455</v>
      </c>
      <c r="P82" s="4" t="s">
        <v>62</v>
      </c>
      <c r="Q82" s="142" t="s">
        <v>45</v>
      </c>
      <c r="R82" s="142" t="s">
        <v>84</v>
      </c>
      <c r="S82" s="142" t="s">
        <v>47</v>
      </c>
      <c r="T82" s="142">
        <v>-5</v>
      </c>
      <c r="U82" s="142" t="s">
        <v>62</v>
      </c>
      <c r="V82" s="143">
        <v>1</v>
      </c>
      <c r="W82" s="142" t="s">
        <v>139</v>
      </c>
      <c r="X82" s="142">
        <v>1000</v>
      </c>
      <c r="Y82" s="142" t="s">
        <v>98</v>
      </c>
      <c r="Z82" s="230" t="s">
        <v>455</v>
      </c>
      <c r="AA82" s="167">
        <v>294</v>
      </c>
      <c r="AB82" s="216">
        <f>162.14/739.22</f>
        <v>0.21933930359027079</v>
      </c>
      <c r="AC82" s="54">
        <f>739.22/760</f>
        <v>0.97265789473684217</v>
      </c>
      <c r="AD82" s="54">
        <v>1.98</v>
      </c>
      <c r="AE82" s="196" t="s">
        <v>494</v>
      </c>
    </row>
    <row r="83" spans="1:31" ht="44.25" customHeight="1" x14ac:dyDescent="0.2">
      <c r="A83" s="100">
        <v>41142</v>
      </c>
      <c r="B83" s="15" t="s">
        <v>766</v>
      </c>
      <c r="C83" s="15" t="s">
        <v>500</v>
      </c>
      <c r="D83" s="233" t="s">
        <v>178</v>
      </c>
      <c r="E83" s="233" t="s">
        <v>271</v>
      </c>
      <c r="F83" s="35" t="s">
        <v>290</v>
      </c>
      <c r="G83" s="272" t="s">
        <v>496</v>
      </c>
      <c r="H83" s="233" t="s">
        <v>190</v>
      </c>
      <c r="I83" s="35" t="s">
        <v>117</v>
      </c>
      <c r="J83" s="37" t="s">
        <v>276</v>
      </c>
      <c r="K83" s="235" t="s">
        <v>497</v>
      </c>
      <c r="L83" s="235" t="s">
        <v>498</v>
      </c>
      <c r="M83" s="37" t="s">
        <v>432</v>
      </c>
      <c r="N83" s="235"/>
      <c r="O83" s="235" t="s">
        <v>455</v>
      </c>
      <c r="P83" s="236" t="s">
        <v>62</v>
      </c>
      <c r="Q83" s="142" t="s">
        <v>45</v>
      </c>
      <c r="R83" s="142" t="s">
        <v>84</v>
      </c>
      <c r="S83" s="142" t="s">
        <v>47</v>
      </c>
      <c r="T83" s="142">
        <v>-5</v>
      </c>
      <c r="U83" s="142" t="s">
        <v>62</v>
      </c>
      <c r="V83" s="143">
        <v>1</v>
      </c>
      <c r="W83" s="142" t="s">
        <v>139</v>
      </c>
      <c r="X83" s="142">
        <v>1000</v>
      </c>
      <c r="Y83" s="142" t="s">
        <v>98</v>
      </c>
      <c r="Z83" s="230" t="s">
        <v>493</v>
      </c>
      <c r="AA83" s="167">
        <v>249</v>
      </c>
      <c r="AB83" s="216">
        <f>162.14/739.22</f>
        <v>0.21933930359027079</v>
      </c>
      <c r="AC83" s="54">
        <f>739.22/760</f>
        <v>0.97265789473684217</v>
      </c>
      <c r="AD83" s="54">
        <v>1.98</v>
      </c>
      <c r="AE83" s="196" t="s">
        <v>499</v>
      </c>
    </row>
    <row r="84" spans="1:31" ht="44.25" customHeight="1" x14ac:dyDescent="0.2">
      <c r="A84" s="246">
        <v>41142</v>
      </c>
      <c r="B84" s="15" t="s">
        <v>766</v>
      </c>
      <c r="C84" s="247" t="s">
        <v>504</v>
      </c>
      <c r="D84" s="248" t="s">
        <v>501</v>
      </c>
      <c r="E84" s="248" t="s">
        <v>130</v>
      </c>
      <c r="F84" s="249" t="s">
        <v>290</v>
      </c>
      <c r="G84" s="273" t="s">
        <v>502</v>
      </c>
      <c r="H84" s="248" t="s">
        <v>190</v>
      </c>
      <c r="I84" s="249" t="s">
        <v>117</v>
      </c>
      <c r="J84" s="250" t="s">
        <v>276</v>
      </c>
      <c r="K84" s="251" t="s">
        <v>503</v>
      </c>
      <c r="L84" s="251" t="s">
        <v>482</v>
      </c>
      <c r="M84" s="250" t="s">
        <v>432</v>
      </c>
      <c r="N84" s="251"/>
      <c r="O84" s="251" t="s">
        <v>455</v>
      </c>
      <c r="P84" s="252" t="s">
        <v>62</v>
      </c>
      <c r="Q84" s="253" t="s">
        <v>45</v>
      </c>
      <c r="R84" s="253" t="s">
        <v>84</v>
      </c>
      <c r="S84" s="253" t="s">
        <v>47</v>
      </c>
      <c r="T84" s="253">
        <v>-5</v>
      </c>
      <c r="U84" s="253" t="s">
        <v>62</v>
      </c>
      <c r="V84" s="254">
        <v>1</v>
      </c>
      <c r="W84" s="253" t="s">
        <v>139</v>
      </c>
      <c r="X84" s="253">
        <v>1000</v>
      </c>
      <c r="Y84" s="253" t="s">
        <v>98</v>
      </c>
      <c r="Z84" s="255"/>
      <c r="AA84" s="253"/>
      <c r="AB84" s="256">
        <f>162.14/739.22</f>
        <v>0.21933930359027079</v>
      </c>
      <c r="AC84" s="257">
        <f>739.22/760</f>
        <v>0.97265789473684217</v>
      </c>
      <c r="AD84" s="257">
        <v>1.98</v>
      </c>
      <c r="AE84" s="258" t="s">
        <v>507</v>
      </c>
    </row>
    <row r="85" spans="1:31" ht="44.25" customHeight="1" x14ac:dyDescent="0.2">
      <c r="A85" s="274">
        <v>41145</v>
      </c>
      <c r="B85" s="275" t="s">
        <v>767</v>
      </c>
      <c r="C85" s="275"/>
      <c r="D85" s="276" t="s">
        <v>516</v>
      </c>
      <c r="E85" s="276"/>
      <c r="F85" s="277"/>
      <c r="G85" s="278"/>
      <c r="H85" s="276"/>
      <c r="I85" s="277"/>
      <c r="J85" s="279"/>
      <c r="K85" s="280"/>
      <c r="L85" s="280"/>
      <c r="M85" s="279"/>
      <c r="N85" s="280"/>
      <c r="O85" s="280"/>
      <c r="P85" s="281"/>
      <c r="Q85" s="282"/>
      <c r="R85" s="282"/>
      <c r="S85" s="282"/>
      <c r="T85" s="282"/>
      <c r="U85" s="282" t="s">
        <v>62</v>
      </c>
      <c r="V85" s="283"/>
      <c r="W85" s="282"/>
      <c r="X85" s="282"/>
      <c r="Y85" s="282"/>
      <c r="Z85" s="284"/>
      <c r="AA85" s="282"/>
      <c r="AB85" s="285"/>
      <c r="AC85" s="286"/>
      <c r="AD85" s="286"/>
      <c r="AE85" s="28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1"/>
  <sheetViews>
    <sheetView topLeftCell="A43" workbookViewId="0">
      <selection activeCell="B46" sqref="B46"/>
    </sheetView>
  </sheetViews>
  <sheetFormatPr defaultRowHeight="12.75" x14ac:dyDescent="0.2"/>
  <cols>
    <col min="1" max="2" width="11.7109375" customWidth="1"/>
    <col min="3" max="3" width="15.5703125" style="8" customWidth="1"/>
    <col min="4" max="4" width="7.7109375" customWidth="1"/>
    <col min="5" max="5" width="5.140625" customWidth="1"/>
    <col min="6" max="6" width="4.85546875" customWidth="1"/>
    <col min="7" max="7" width="10.140625" style="1" customWidth="1"/>
    <col min="8" max="8" width="6.28515625" style="101" customWidth="1"/>
    <col min="9" max="9" width="5.42578125" customWidth="1"/>
    <col min="10" max="10" width="13.28515625" style="10" customWidth="1"/>
    <col min="11" max="11" width="12.42578125" style="101" customWidth="1"/>
    <col min="12" max="12" width="10.5703125" customWidth="1"/>
    <col min="13" max="13" width="6.7109375" customWidth="1"/>
    <col min="14" max="14" width="9" style="10" customWidth="1"/>
    <col min="15" max="15" width="8" customWidth="1"/>
    <col min="16" max="16" width="10.140625" customWidth="1"/>
    <col min="17" max="17" width="3.7109375" customWidth="1"/>
    <col min="18" max="18" width="6" customWidth="1"/>
    <col min="19" max="19" width="5.5703125" customWidth="1"/>
    <col min="20" max="20" width="14.42578125" customWidth="1"/>
    <col min="22" max="22" width="8.5703125" style="1" customWidth="1"/>
    <col min="23" max="23" width="3" customWidth="1"/>
    <col min="24" max="25" width="6.28515625" customWidth="1"/>
    <col min="26" max="26" width="7.85546875" style="27" customWidth="1"/>
    <col min="27" max="27" width="5.85546875" style="10" customWidth="1"/>
    <col min="28" max="30" width="6.140625" customWidth="1"/>
    <col min="31" max="31" width="71.42578125" style="191" customWidth="1"/>
  </cols>
  <sheetData>
    <row r="1" spans="1:31" ht="20.25" customHeight="1" x14ac:dyDescent="0.3">
      <c r="A1" s="319" t="s">
        <v>27</v>
      </c>
      <c r="B1" s="319"/>
      <c r="C1" s="320"/>
      <c r="D1" s="321"/>
      <c r="E1" s="321"/>
      <c r="F1" s="321"/>
      <c r="G1" s="318"/>
      <c r="H1" s="317"/>
      <c r="I1" s="321"/>
      <c r="J1" s="322"/>
      <c r="K1" s="317"/>
      <c r="L1" s="321"/>
      <c r="M1" s="321"/>
      <c r="N1" s="322"/>
      <c r="O1" s="321"/>
      <c r="P1" s="321"/>
      <c r="Q1" s="321"/>
      <c r="R1" s="321"/>
      <c r="S1" s="321"/>
      <c r="T1" s="321"/>
      <c r="U1" s="321"/>
      <c r="V1" s="318"/>
      <c r="W1" s="321"/>
      <c r="X1" s="321"/>
      <c r="Y1" s="321"/>
      <c r="Z1" s="323"/>
      <c r="AA1" s="322"/>
      <c r="AB1" s="321"/>
      <c r="AC1" s="321"/>
      <c r="AD1" s="321"/>
    </row>
    <row r="2" spans="1:31" s="140" customFormat="1" ht="160.5" thickBot="1" x14ac:dyDescent="0.25">
      <c r="A2" s="130" t="s">
        <v>52</v>
      </c>
      <c r="B2" s="130" t="s">
        <v>746</v>
      </c>
      <c r="C2" s="131" t="s">
        <v>118</v>
      </c>
      <c r="D2" s="130" t="s">
        <v>32</v>
      </c>
      <c r="E2" s="132" t="s">
        <v>2</v>
      </c>
      <c r="F2" s="132" t="s">
        <v>3</v>
      </c>
      <c r="G2" s="133" t="s">
        <v>1</v>
      </c>
      <c r="H2" s="134" t="s">
        <v>4</v>
      </c>
      <c r="I2" s="132" t="s">
        <v>6</v>
      </c>
      <c r="J2" s="134" t="s">
        <v>7</v>
      </c>
      <c r="K2" s="135" t="s">
        <v>8</v>
      </c>
      <c r="L2" s="136" t="s">
        <v>12</v>
      </c>
      <c r="M2" s="137" t="s">
        <v>57</v>
      </c>
      <c r="N2" s="138" t="s">
        <v>9</v>
      </c>
      <c r="O2" s="136" t="s">
        <v>10</v>
      </c>
      <c r="P2" s="136" t="s">
        <v>11</v>
      </c>
      <c r="Q2" s="146" t="s">
        <v>14</v>
      </c>
      <c r="R2" s="146" t="s">
        <v>22</v>
      </c>
      <c r="S2" s="146" t="s">
        <v>23</v>
      </c>
      <c r="T2" s="146" t="s">
        <v>24</v>
      </c>
      <c r="U2" s="146" t="s">
        <v>25</v>
      </c>
      <c r="V2" s="146" t="s">
        <v>15</v>
      </c>
      <c r="W2" s="146" t="s">
        <v>16</v>
      </c>
      <c r="X2" s="146" t="s">
        <v>17</v>
      </c>
      <c r="Y2" s="146" t="s">
        <v>26</v>
      </c>
      <c r="Z2" s="147" t="s">
        <v>18</v>
      </c>
      <c r="AA2" s="148" t="s">
        <v>19</v>
      </c>
      <c r="AB2" s="139" t="s">
        <v>56</v>
      </c>
      <c r="AC2" s="139" t="s">
        <v>55</v>
      </c>
      <c r="AD2" s="139" t="s">
        <v>54</v>
      </c>
      <c r="AE2" s="130" t="s">
        <v>21</v>
      </c>
    </row>
    <row r="3" spans="1:31" s="2" customFormat="1" x14ac:dyDescent="0.2">
      <c r="C3" s="13"/>
      <c r="E3" s="77" t="s">
        <v>0</v>
      </c>
      <c r="F3" s="3"/>
      <c r="G3" s="7"/>
      <c r="H3" s="9"/>
      <c r="I3" s="3"/>
      <c r="J3" s="11"/>
      <c r="K3" s="113" t="s">
        <v>5</v>
      </c>
      <c r="L3" s="4"/>
      <c r="M3" s="4"/>
      <c r="N3" s="24"/>
      <c r="O3" s="4"/>
      <c r="P3" s="4"/>
      <c r="Q3" s="141" t="s">
        <v>13</v>
      </c>
      <c r="R3" s="142"/>
      <c r="S3" s="142"/>
      <c r="T3" s="142"/>
      <c r="U3" s="142"/>
      <c r="V3" s="143"/>
      <c r="W3" s="142"/>
      <c r="X3" s="142"/>
      <c r="Y3" s="142"/>
      <c r="Z3" s="144"/>
      <c r="AA3" s="145"/>
      <c r="AB3" s="78" t="s">
        <v>20</v>
      </c>
      <c r="AC3" s="5"/>
      <c r="AD3" s="5"/>
      <c r="AE3" s="192"/>
    </row>
    <row r="4" spans="1:31" ht="68.25" customHeight="1" x14ac:dyDescent="0.25">
      <c r="A4" s="324">
        <v>41368</v>
      </c>
      <c r="B4" s="324">
        <v>41369</v>
      </c>
      <c r="C4" s="15" t="s">
        <v>510</v>
      </c>
      <c r="D4" s="233" t="s">
        <v>511</v>
      </c>
      <c r="E4" s="233"/>
      <c r="F4" s="35"/>
      <c r="G4" s="35"/>
      <c r="H4" s="233" t="s">
        <v>512</v>
      </c>
      <c r="I4" s="35" t="s">
        <v>210</v>
      </c>
      <c r="J4" s="37" t="s">
        <v>62</v>
      </c>
      <c r="K4" s="235"/>
      <c r="L4" s="235"/>
      <c r="M4" s="37"/>
      <c r="N4" s="235"/>
      <c r="O4" s="235"/>
      <c r="P4" s="236"/>
      <c r="Q4" s="167"/>
      <c r="R4" s="167"/>
      <c r="S4" s="167"/>
      <c r="T4" s="167"/>
      <c r="U4" s="167" t="s">
        <v>526</v>
      </c>
      <c r="V4" s="164"/>
      <c r="W4" s="167"/>
      <c r="X4" s="167"/>
      <c r="Y4" s="167"/>
      <c r="Z4" s="230" t="s">
        <v>509</v>
      </c>
      <c r="AA4" s="167"/>
      <c r="AB4" s="216">
        <v>0.216</v>
      </c>
      <c r="AC4" s="54">
        <v>0.97</v>
      </c>
      <c r="AD4" s="54">
        <v>3.2</v>
      </c>
      <c r="AE4" s="304" t="s">
        <v>513</v>
      </c>
    </row>
    <row r="5" spans="1:31" ht="68.25" customHeight="1" x14ac:dyDescent="0.25">
      <c r="A5" s="325">
        <v>41369</v>
      </c>
      <c r="B5" s="325">
        <v>41370</v>
      </c>
      <c r="C5" s="13" t="s">
        <v>514</v>
      </c>
      <c r="D5" s="9" t="s">
        <v>515</v>
      </c>
      <c r="E5" s="243"/>
      <c r="F5" s="9"/>
      <c r="G5" s="9"/>
      <c r="H5" s="243"/>
      <c r="I5" s="9"/>
      <c r="J5" s="23"/>
      <c r="K5" s="244"/>
      <c r="L5" s="244"/>
      <c r="M5" s="23"/>
      <c r="N5" s="244"/>
      <c r="O5" s="244"/>
      <c r="P5" s="245"/>
      <c r="Q5" s="142"/>
      <c r="R5" s="142"/>
      <c r="S5" s="142"/>
      <c r="T5" s="142"/>
      <c r="U5" s="142" t="s">
        <v>62</v>
      </c>
      <c r="V5" s="143"/>
      <c r="W5" s="142"/>
      <c r="X5" s="142"/>
      <c r="Y5" s="142"/>
      <c r="Z5" s="215"/>
      <c r="AA5" s="142"/>
      <c r="AB5" s="225">
        <v>0.215</v>
      </c>
      <c r="AC5" s="5">
        <v>0.97</v>
      </c>
      <c r="AD5" s="5">
        <v>3.1</v>
      </c>
      <c r="AE5" s="303" t="s">
        <v>525</v>
      </c>
    </row>
    <row r="6" spans="1:31" ht="68.25" customHeight="1" x14ac:dyDescent="0.25">
      <c r="A6" s="325">
        <v>41369</v>
      </c>
      <c r="B6" s="325">
        <v>41370</v>
      </c>
      <c r="C6" s="13" t="s">
        <v>547</v>
      </c>
      <c r="D6" s="243" t="s">
        <v>518</v>
      </c>
      <c r="E6" s="243" t="s">
        <v>517</v>
      </c>
      <c r="F6" s="9" t="s">
        <v>519</v>
      </c>
      <c r="G6" s="9" t="s">
        <v>115</v>
      </c>
      <c r="H6" s="243" t="s">
        <v>520</v>
      </c>
      <c r="I6" s="9" t="s">
        <v>117</v>
      </c>
      <c r="J6" s="23" t="s">
        <v>117</v>
      </c>
      <c r="K6" s="244" t="s">
        <v>528</v>
      </c>
      <c r="L6" s="244" t="s">
        <v>532</v>
      </c>
      <c r="M6" s="23" t="s">
        <v>529</v>
      </c>
      <c r="N6" s="244" t="s">
        <v>41</v>
      </c>
      <c r="O6" s="244" t="s">
        <v>455</v>
      </c>
      <c r="P6" s="245"/>
      <c r="Q6" s="142" t="s">
        <v>45</v>
      </c>
      <c r="R6" s="142" t="s">
        <v>84</v>
      </c>
      <c r="S6" s="142" t="s">
        <v>47</v>
      </c>
      <c r="T6" s="142">
        <v>-5</v>
      </c>
      <c r="U6" s="142" t="s">
        <v>527</v>
      </c>
      <c r="V6" s="143">
        <v>1</v>
      </c>
      <c r="W6" s="142" t="s">
        <v>139</v>
      </c>
      <c r="X6" s="142">
        <v>1000</v>
      </c>
      <c r="Y6" s="142" t="s">
        <v>98</v>
      </c>
      <c r="Z6" s="215" t="s">
        <v>523</v>
      </c>
      <c r="AA6" s="142">
        <v>98</v>
      </c>
      <c r="AB6" s="225">
        <v>0.17069999999999999</v>
      </c>
      <c r="AC6" s="5">
        <v>0.97</v>
      </c>
      <c r="AD6" s="5">
        <v>3.15</v>
      </c>
      <c r="AE6" s="303" t="s">
        <v>537</v>
      </c>
    </row>
    <row r="7" spans="1:31" ht="68.25" customHeight="1" x14ac:dyDescent="0.25">
      <c r="A7" s="326">
        <v>41369</v>
      </c>
      <c r="B7" s="326">
        <v>41370</v>
      </c>
      <c r="C7" s="55" t="s">
        <v>546</v>
      </c>
      <c r="D7" s="297" t="s">
        <v>531</v>
      </c>
      <c r="E7" s="248" t="s">
        <v>530</v>
      </c>
      <c r="F7" s="249" t="s">
        <v>519</v>
      </c>
      <c r="G7" s="249" t="s">
        <v>115</v>
      </c>
      <c r="H7" s="248" t="s">
        <v>520</v>
      </c>
      <c r="I7" s="249" t="s">
        <v>117</v>
      </c>
      <c r="J7" s="250" t="s">
        <v>117</v>
      </c>
      <c r="K7" s="251" t="s">
        <v>535</v>
      </c>
      <c r="L7" s="251" t="s">
        <v>532</v>
      </c>
      <c r="M7" s="250" t="s">
        <v>181</v>
      </c>
      <c r="N7" s="251" t="s">
        <v>533</v>
      </c>
      <c r="O7" s="251" t="s">
        <v>455</v>
      </c>
      <c r="P7" s="252" t="s">
        <v>62</v>
      </c>
      <c r="Q7" s="253" t="s">
        <v>45</v>
      </c>
      <c r="R7" s="253" t="s">
        <v>84</v>
      </c>
      <c r="S7" s="253" t="s">
        <v>47</v>
      </c>
      <c r="T7" s="253">
        <v>-5</v>
      </c>
      <c r="U7" s="253"/>
      <c r="V7" s="254">
        <v>1</v>
      </c>
      <c r="W7" s="253" t="s">
        <v>139</v>
      </c>
      <c r="X7" s="253">
        <v>1000</v>
      </c>
      <c r="Y7" s="253" t="s">
        <v>87</v>
      </c>
      <c r="Z7" s="255" t="s">
        <v>523</v>
      </c>
      <c r="AA7" s="253" t="s">
        <v>534</v>
      </c>
      <c r="AB7" s="256">
        <v>0.17069999999999999</v>
      </c>
      <c r="AC7" s="257">
        <v>0.97</v>
      </c>
      <c r="AD7" s="257">
        <v>3.15</v>
      </c>
      <c r="AE7" s="303" t="s">
        <v>536</v>
      </c>
    </row>
    <row r="8" spans="1:31" ht="68.25" customHeight="1" x14ac:dyDescent="0.25">
      <c r="A8" s="327">
        <v>41373</v>
      </c>
      <c r="B8" s="347">
        <v>41374</v>
      </c>
      <c r="C8" s="298" t="s">
        <v>545</v>
      </c>
      <c r="D8" s="299" t="s">
        <v>538</v>
      </c>
      <c r="E8" s="294" t="s">
        <v>541</v>
      </c>
      <c r="F8" s="35" t="s">
        <v>539</v>
      </c>
      <c r="G8" s="35" t="s">
        <v>115</v>
      </c>
      <c r="H8" s="233" t="s">
        <v>540</v>
      </c>
      <c r="I8" s="35" t="s">
        <v>117</v>
      </c>
      <c r="J8" s="37" t="s">
        <v>140</v>
      </c>
      <c r="K8" s="235" t="s">
        <v>549</v>
      </c>
      <c r="L8" s="235" t="s">
        <v>551</v>
      </c>
      <c r="M8" s="37" t="s">
        <v>181</v>
      </c>
      <c r="N8" s="235"/>
      <c r="O8" s="235" t="s">
        <v>542</v>
      </c>
      <c r="P8" s="236" t="s">
        <v>62</v>
      </c>
      <c r="Q8" s="167" t="s">
        <v>45</v>
      </c>
      <c r="R8" s="167" t="s">
        <v>84</v>
      </c>
      <c r="S8" s="167" t="s">
        <v>47</v>
      </c>
      <c r="T8" s="167">
        <v>-5</v>
      </c>
      <c r="U8" s="167" t="s">
        <v>544</v>
      </c>
      <c r="V8" s="164">
        <v>1</v>
      </c>
      <c r="W8" s="167" t="s">
        <v>139</v>
      </c>
      <c r="X8" s="167">
        <v>1000</v>
      </c>
      <c r="Y8" s="167" t="s">
        <v>87</v>
      </c>
      <c r="Z8" s="230" t="s">
        <v>509</v>
      </c>
      <c r="AA8" s="167" t="s">
        <v>543</v>
      </c>
      <c r="AB8" s="216">
        <v>0.21099999999999999</v>
      </c>
      <c r="AC8" s="54">
        <v>0.98199999999999998</v>
      </c>
      <c r="AD8" s="54">
        <v>2.9</v>
      </c>
      <c r="AE8" s="192" t="s">
        <v>552</v>
      </c>
    </row>
    <row r="9" spans="1:31" ht="68.25" customHeight="1" x14ac:dyDescent="0.25">
      <c r="A9" s="328">
        <v>41373</v>
      </c>
      <c r="B9" s="347">
        <v>41374</v>
      </c>
      <c r="C9" s="13" t="s">
        <v>553</v>
      </c>
      <c r="D9" s="300">
        <v>83</v>
      </c>
      <c r="E9" s="295">
        <v>115</v>
      </c>
      <c r="F9" s="3">
        <v>25</v>
      </c>
      <c r="G9" s="7" t="s">
        <v>548</v>
      </c>
      <c r="H9" s="9" t="s">
        <v>554</v>
      </c>
      <c r="I9" s="3">
        <v>2</v>
      </c>
      <c r="J9" s="24" t="s">
        <v>140</v>
      </c>
      <c r="K9" s="23" t="s">
        <v>555</v>
      </c>
      <c r="L9" s="4" t="s">
        <v>556</v>
      </c>
      <c r="M9" s="4">
        <v>50</v>
      </c>
      <c r="N9" s="24" t="s">
        <v>550</v>
      </c>
      <c r="O9" s="4">
        <v>10</v>
      </c>
      <c r="P9" s="245" t="s">
        <v>62</v>
      </c>
      <c r="Q9" s="142" t="s">
        <v>45</v>
      </c>
      <c r="R9" s="142" t="s">
        <v>84</v>
      </c>
      <c r="S9" s="142" t="s">
        <v>47</v>
      </c>
      <c r="T9" s="142">
        <v>-5</v>
      </c>
      <c r="U9" s="142"/>
      <c r="V9" s="143">
        <v>1</v>
      </c>
      <c r="W9" s="142" t="s">
        <v>139</v>
      </c>
      <c r="X9" s="142">
        <v>1000</v>
      </c>
      <c r="Y9" s="142" t="s">
        <v>87</v>
      </c>
      <c r="Z9" s="215" t="s">
        <v>455</v>
      </c>
      <c r="AA9" s="142">
        <v>139</v>
      </c>
      <c r="AB9" s="225">
        <v>0.21099999999999999</v>
      </c>
      <c r="AC9" s="5">
        <v>0.98199999999999998</v>
      </c>
      <c r="AD9" s="5">
        <v>2.9</v>
      </c>
      <c r="AE9" s="192" t="s">
        <v>557</v>
      </c>
    </row>
    <row r="10" spans="1:31" ht="68.25" customHeight="1" x14ac:dyDescent="0.25">
      <c r="A10" s="328">
        <v>41373</v>
      </c>
      <c r="B10" s="347">
        <v>41374</v>
      </c>
      <c r="C10" s="13" t="s">
        <v>558</v>
      </c>
      <c r="D10" s="300">
        <v>84</v>
      </c>
      <c r="E10" s="295">
        <v>116</v>
      </c>
      <c r="F10" s="3">
        <v>25</v>
      </c>
      <c r="G10" s="7" t="s">
        <v>548</v>
      </c>
      <c r="H10" s="9" t="s">
        <v>554</v>
      </c>
      <c r="I10" s="3">
        <v>2</v>
      </c>
      <c r="J10" s="24" t="s">
        <v>140</v>
      </c>
      <c r="K10" s="23" t="s">
        <v>559</v>
      </c>
      <c r="L10" s="4" t="s">
        <v>560</v>
      </c>
      <c r="M10" s="4">
        <v>50</v>
      </c>
      <c r="N10" s="24" t="s">
        <v>561</v>
      </c>
      <c r="O10" s="4">
        <v>10</v>
      </c>
      <c r="P10" s="245" t="s">
        <v>62</v>
      </c>
      <c r="Q10" s="142" t="s">
        <v>45</v>
      </c>
      <c r="R10" s="142" t="s">
        <v>84</v>
      </c>
      <c r="S10" s="142" t="s">
        <v>47</v>
      </c>
      <c r="T10" s="142">
        <v>-5</v>
      </c>
      <c r="U10" s="142"/>
      <c r="V10" s="143">
        <v>1</v>
      </c>
      <c r="W10" s="142" t="s">
        <v>139</v>
      </c>
      <c r="X10" s="142">
        <v>1000</v>
      </c>
      <c r="Y10" s="142" t="s">
        <v>87</v>
      </c>
      <c r="Z10" s="215" t="s">
        <v>455</v>
      </c>
      <c r="AA10" s="142" t="s">
        <v>534</v>
      </c>
      <c r="AB10" s="225">
        <v>0.21099999999999999</v>
      </c>
      <c r="AC10" s="5">
        <v>0.98199999999999998</v>
      </c>
      <c r="AD10" s="5">
        <v>2.9</v>
      </c>
      <c r="AE10" s="192" t="s">
        <v>562</v>
      </c>
    </row>
    <row r="11" spans="1:31" ht="68.25" customHeight="1" x14ac:dyDescent="0.25">
      <c r="A11" s="329">
        <v>41373</v>
      </c>
      <c r="B11" s="347">
        <v>41374</v>
      </c>
      <c r="C11" s="301" t="s">
        <v>563</v>
      </c>
      <c r="D11" s="302">
        <v>85</v>
      </c>
      <c r="E11" s="296">
        <v>117</v>
      </c>
      <c r="F11" s="288">
        <v>25</v>
      </c>
      <c r="G11" s="289" t="s">
        <v>548</v>
      </c>
      <c r="H11" s="249" t="s">
        <v>554</v>
      </c>
      <c r="I11" s="288">
        <v>2</v>
      </c>
      <c r="J11" s="290" t="s">
        <v>140</v>
      </c>
      <c r="K11" s="250" t="s">
        <v>564</v>
      </c>
      <c r="L11" s="291" t="s">
        <v>565</v>
      </c>
      <c r="M11" s="291">
        <v>50</v>
      </c>
      <c r="N11" s="290"/>
      <c r="O11" s="291">
        <v>10</v>
      </c>
      <c r="P11" s="252" t="s">
        <v>62</v>
      </c>
      <c r="Q11" s="293" t="s">
        <v>45</v>
      </c>
      <c r="R11" s="292" t="s">
        <v>84</v>
      </c>
      <c r="S11" s="253" t="s">
        <v>47</v>
      </c>
      <c r="T11" s="253">
        <v>-5</v>
      </c>
      <c r="U11" s="253"/>
      <c r="V11" s="254">
        <v>1</v>
      </c>
      <c r="W11" s="253" t="s">
        <v>139</v>
      </c>
      <c r="X11" s="253">
        <v>1000</v>
      </c>
      <c r="Y11" s="253" t="s">
        <v>87</v>
      </c>
      <c r="Z11" s="255" t="s">
        <v>482</v>
      </c>
      <c r="AA11" s="253">
        <v>204</v>
      </c>
      <c r="AB11" s="256">
        <v>0.21099999999999999</v>
      </c>
      <c r="AC11" s="257">
        <v>0.98199999999999998</v>
      </c>
      <c r="AD11" s="257">
        <v>2.9</v>
      </c>
      <c r="AE11" s="258" t="s">
        <v>566</v>
      </c>
    </row>
    <row r="12" spans="1:31" ht="68.25" customHeight="1" x14ac:dyDescent="0.25">
      <c r="A12" s="329">
        <v>41373</v>
      </c>
      <c r="B12" s="347">
        <v>41374</v>
      </c>
      <c r="C12" s="301" t="s">
        <v>568</v>
      </c>
      <c r="D12" s="308">
        <v>85</v>
      </c>
      <c r="E12" s="296" t="s">
        <v>567</v>
      </c>
      <c r="F12" s="288">
        <v>25</v>
      </c>
      <c r="G12" s="289" t="s">
        <v>548</v>
      </c>
      <c r="H12" s="249" t="s">
        <v>554</v>
      </c>
      <c r="I12" s="288">
        <v>2</v>
      </c>
      <c r="J12" s="290" t="s">
        <v>140</v>
      </c>
      <c r="K12" s="250" t="s">
        <v>570</v>
      </c>
      <c r="L12" s="291" t="s">
        <v>571</v>
      </c>
      <c r="M12" s="291">
        <v>50</v>
      </c>
      <c r="N12" s="290"/>
      <c r="O12" s="291">
        <v>10</v>
      </c>
      <c r="P12" s="252" t="s">
        <v>62</v>
      </c>
      <c r="Q12" s="293" t="s">
        <v>45</v>
      </c>
      <c r="R12" s="292" t="s">
        <v>84</v>
      </c>
      <c r="S12" s="253" t="s">
        <v>47</v>
      </c>
      <c r="T12" s="253">
        <v>-5</v>
      </c>
      <c r="U12" s="253"/>
      <c r="V12" s="254">
        <v>1</v>
      </c>
      <c r="W12" s="253" t="s">
        <v>139</v>
      </c>
      <c r="X12" s="253">
        <v>1000</v>
      </c>
      <c r="Y12" s="253" t="s">
        <v>87</v>
      </c>
      <c r="Z12" s="255" t="s">
        <v>482</v>
      </c>
      <c r="AA12" s="253" t="s">
        <v>569</v>
      </c>
      <c r="AB12" s="256">
        <v>0.21099999999999999</v>
      </c>
      <c r="AC12" s="257">
        <v>0.98199999999999998</v>
      </c>
      <c r="AD12" s="257">
        <v>2.9</v>
      </c>
      <c r="AE12" s="258" t="s">
        <v>572</v>
      </c>
    </row>
    <row r="13" spans="1:31" ht="68.25" customHeight="1" x14ac:dyDescent="0.25">
      <c r="A13" s="330">
        <v>41376</v>
      </c>
      <c r="B13" s="330">
        <v>41377</v>
      </c>
      <c r="C13" s="55" t="s">
        <v>573</v>
      </c>
      <c r="D13" s="3">
        <v>86</v>
      </c>
      <c r="E13" s="305">
        <v>100</v>
      </c>
      <c r="F13" s="57">
        <v>24</v>
      </c>
      <c r="G13" s="28" t="s">
        <v>548</v>
      </c>
      <c r="H13" s="29" t="s">
        <v>554</v>
      </c>
      <c r="I13" s="57">
        <v>2</v>
      </c>
      <c r="J13" s="31" t="s">
        <v>140</v>
      </c>
      <c r="K13" s="114" t="s">
        <v>575</v>
      </c>
      <c r="L13" s="58" t="s">
        <v>576</v>
      </c>
      <c r="M13" s="58">
        <v>50</v>
      </c>
      <c r="N13" s="31" t="s">
        <v>579</v>
      </c>
      <c r="O13" s="58">
        <v>10</v>
      </c>
      <c r="P13" s="306"/>
      <c r="Q13" s="142" t="s">
        <v>45</v>
      </c>
      <c r="R13" s="142" t="s">
        <v>84</v>
      </c>
      <c r="S13" s="172" t="s">
        <v>47</v>
      </c>
      <c r="T13" s="172">
        <v>-5</v>
      </c>
      <c r="U13" s="172"/>
      <c r="V13" s="173">
        <v>1</v>
      </c>
      <c r="W13" s="172" t="s">
        <v>139</v>
      </c>
      <c r="X13" s="172">
        <v>1000</v>
      </c>
      <c r="Y13" s="172" t="s">
        <v>87</v>
      </c>
      <c r="Z13" s="307" t="s">
        <v>493</v>
      </c>
      <c r="AA13" s="172" t="s">
        <v>574</v>
      </c>
      <c r="AB13" s="223">
        <v>0.21110999999999999</v>
      </c>
      <c r="AC13" s="59">
        <v>0.98</v>
      </c>
      <c r="AD13" s="59">
        <v>2.2999999999999998</v>
      </c>
      <c r="AE13" s="197" t="s">
        <v>580</v>
      </c>
    </row>
    <row r="14" spans="1:31" ht="68.25" customHeight="1" x14ac:dyDescent="0.25">
      <c r="A14" s="330">
        <v>41376</v>
      </c>
      <c r="B14" s="330">
        <v>41377</v>
      </c>
      <c r="C14" s="55" t="s">
        <v>583</v>
      </c>
      <c r="D14" s="3">
        <v>87</v>
      </c>
      <c r="E14" s="305">
        <v>85</v>
      </c>
      <c r="F14" s="57">
        <v>43</v>
      </c>
      <c r="G14" s="28" t="s">
        <v>577</v>
      </c>
      <c r="H14" s="29" t="s">
        <v>554</v>
      </c>
      <c r="I14" s="57">
        <v>2</v>
      </c>
      <c r="J14" s="31" t="s">
        <v>140</v>
      </c>
      <c r="K14" s="114" t="s">
        <v>239</v>
      </c>
      <c r="L14" s="58">
        <v>3</v>
      </c>
      <c r="M14" s="58">
        <v>50</v>
      </c>
      <c r="N14" s="31" t="s">
        <v>582</v>
      </c>
      <c r="O14" s="58">
        <v>0</v>
      </c>
      <c r="P14" s="306"/>
      <c r="Q14" s="142" t="s">
        <v>45</v>
      </c>
      <c r="R14" s="142" t="s">
        <v>46</v>
      </c>
      <c r="S14" s="172" t="s">
        <v>47</v>
      </c>
      <c r="T14" s="172">
        <v>-5</v>
      </c>
      <c r="U14" s="172" t="s">
        <v>592</v>
      </c>
      <c r="V14" s="173" t="s">
        <v>581</v>
      </c>
      <c r="W14" s="172" t="s">
        <v>122</v>
      </c>
      <c r="X14" s="172">
        <v>1000</v>
      </c>
      <c r="Y14" s="172" t="s">
        <v>578</v>
      </c>
      <c r="Z14" s="307" t="s">
        <v>414</v>
      </c>
      <c r="AA14" s="172" t="s">
        <v>589</v>
      </c>
      <c r="AB14" s="223">
        <v>0.21110999999999999</v>
      </c>
      <c r="AC14" s="59">
        <v>0.98</v>
      </c>
      <c r="AD14" s="59">
        <v>2.2999999999999998</v>
      </c>
      <c r="AE14" s="197" t="s">
        <v>584</v>
      </c>
    </row>
    <row r="15" spans="1:31" ht="68.25" customHeight="1" x14ac:dyDescent="0.25">
      <c r="A15" s="330">
        <v>41376</v>
      </c>
      <c r="B15" s="330">
        <v>41377</v>
      </c>
      <c r="C15" s="55" t="s">
        <v>587</v>
      </c>
      <c r="D15" s="3">
        <v>88</v>
      </c>
      <c r="E15" s="305">
        <v>93</v>
      </c>
      <c r="F15" s="57">
        <v>43</v>
      </c>
      <c r="G15" s="28" t="s">
        <v>577</v>
      </c>
      <c r="H15" s="29" t="s">
        <v>554</v>
      </c>
      <c r="I15" s="57">
        <v>2</v>
      </c>
      <c r="J15" s="31" t="s">
        <v>140</v>
      </c>
      <c r="K15" s="114" t="s">
        <v>585</v>
      </c>
      <c r="L15" s="58" t="s">
        <v>588</v>
      </c>
      <c r="M15" s="58">
        <v>50</v>
      </c>
      <c r="N15" s="31"/>
      <c r="O15" s="58">
        <v>0</v>
      </c>
      <c r="P15" s="306"/>
      <c r="Q15" s="142" t="s">
        <v>45</v>
      </c>
      <c r="R15" s="142" t="s">
        <v>46</v>
      </c>
      <c r="S15" s="172"/>
      <c r="T15" s="172">
        <v>-5</v>
      </c>
      <c r="U15" s="172" t="s">
        <v>591</v>
      </c>
      <c r="V15" s="173" t="s">
        <v>581</v>
      </c>
      <c r="W15" s="172" t="s">
        <v>122</v>
      </c>
      <c r="X15" s="172">
        <v>1000</v>
      </c>
      <c r="Y15" s="172" t="s">
        <v>578</v>
      </c>
      <c r="Z15" s="307" t="s">
        <v>117</v>
      </c>
      <c r="AA15" s="172" t="s">
        <v>590</v>
      </c>
      <c r="AB15" s="223">
        <v>0.21129999999999999</v>
      </c>
      <c r="AC15" s="59">
        <v>0.98</v>
      </c>
      <c r="AD15" s="59">
        <v>2.2999999999999998</v>
      </c>
      <c r="AE15" s="197" t="s">
        <v>586</v>
      </c>
    </row>
    <row r="16" spans="1:31" ht="68.25" customHeight="1" x14ac:dyDescent="0.25">
      <c r="A16" s="331">
        <v>41380</v>
      </c>
      <c r="B16" s="331">
        <v>41381</v>
      </c>
      <c r="C16" s="310" t="s">
        <v>603</v>
      </c>
      <c r="D16" s="52">
        <v>89</v>
      </c>
      <c r="E16" s="311">
        <v>26</v>
      </c>
      <c r="F16" s="312">
        <v>17</v>
      </c>
      <c r="G16" s="46" t="s">
        <v>604</v>
      </c>
      <c r="H16" s="47" t="s">
        <v>554</v>
      </c>
      <c r="I16" s="312">
        <v>2</v>
      </c>
      <c r="J16" s="50" t="s">
        <v>140</v>
      </c>
      <c r="K16" s="48" t="s">
        <v>605</v>
      </c>
      <c r="L16" s="313"/>
      <c r="M16" s="313">
        <v>50</v>
      </c>
      <c r="N16" s="50" t="s">
        <v>606</v>
      </c>
      <c r="O16" s="313"/>
      <c r="P16" s="314" t="s">
        <v>62</v>
      </c>
      <c r="Q16" s="167" t="s">
        <v>45</v>
      </c>
      <c r="R16" s="167" t="s">
        <v>84</v>
      </c>
      <c r="S16" s="315" t="s">
        <v>47</v>
      </c>
      <c r="T16" s="315">
        <v>-5</v>
      </c>
      <c r="U16" s="315" t="s">
        <v>62</v>
      </c>
      <c r="V16" s="149">
        <v>1</v>
      </c>
      <c r="W16" s="315" t="s">
        <v>139</v>
      </c>
      <c r="X16" s="315">
        <v>1000</v>
      </c>
      <c r="Y16" s="315" t="s">
        <v>87</v>
      </c>
      <c r="Z16" s="316" t="s">
        <v>475</v>
      </c>
      <c r="AA16" s="315">
        <v>182</v>
      </c>
      <c r="AB16" s="227">
        <v>0.17299999999999999</v>
      </c>
      <c r="AC16" s="103">
        <v>0.99</v>
      </c>
      <c r="AD16" s="103">
        <v>3.2</v>
      </c>
      <c r="AE16" s="197" t="s">
        <v>607</v>
      </c>
    </row>
    <row r="17" spans="1:31" ht="68.25" customHeight="1" x14ac:dyDescent="0.25">
      <c r="A17" s="330">
        <v>41380</v>
      </c>
      <c r="B17" s="331">
        <v>41381</v>
      </c>
      <c r="C17" s="55" t="s">
        <v>608</v>
      </c>
      <c r="D17" s="3">
        <v>90</v>
      </c>
      <c r="E17" s="305">
        <v>27</v>
      </c>
      <c r="F17" s="57">
        <v>17</v>
      </c>
      <c r="G17" s="28" t="s">
        <v>604</v>
      </c>
      <c r="H17" s="29" t="s">
        <v>554</v>
      </c>
      <c r="I17" s="57">
        <v>2</v>
      </c>
      <c r="J17" s="31" t="s">
        <v>140</v>
      </c>
      <c r="K17" s="114" t="s">
        <v>609</v>
      </c>
      <c r="L17" s="58"/>
      <c r="M17" s="58">
        <v>250</v>
      </c>
      <c r="N17" s="31" t="s">
        <v>610</v>
      </c>
      <c r="O17" s="58">
        <v>0</v>
      </c>
      <c r="P17" s="306"/>
      <c r="Q17" s="142" t="s">
        <v>45</v>
      </c>
      <c r="R17" s="142" t="s">
        <v>84</v>
      </c>
      <c r="S17" s="172" t="s">
        <v>47</v>
      </c>
      <c r="T17" s="172">
        <v>-5</v>
      </c>
      <c r="U17" s="172" t="s">
        <v>62</v>
      </c>
      <c r="V17" s="173">
        <v>1</v>
      </c>
      <c r="W17" s="172" t="s">
        <v>139</v>
      </c>
      <c r="X17" s="172">
        <v>1000</v>
      </c>
      <c r="Y17" s="172" t="s">
        <v>87</v>
      </c>
      <c r="Z17" s="307" t="s">
        <v>455</v>
      </c>
      <c r="AA17" s="172">
        <v>86</v>
      </c>
      <c r="AB17" s="223">
        <v>0.17100000000000001</v>
      </c>
      <c r="AC17" s="59">
        <v>0.99</v>
      </c>
      <c r="AD17" s="59">
        <v>3.2</v>
      </c>
      <c r="AE17" s="197" t="s">
        <v>611</v>
      </c>
    </row>
    <row r="18" spans="1:31" ht="68.25" customHeight="1" x14ac:dyDescent="0.25">
      <c r="A18" s="330">
        <v>41380</v>
      </c>
      <c r="B18" s="331">
        <v>41381</v>
      </c>
      <c r="C18" s="55" t="s">
        <v>612</v>
      </c>
      <c r="D18" s="3">
        <v>91</v>
      </c>
      <c r="E18" s="305">
        <v>28</v>
      </c>
      <c r="F18" s="57">
        <v>17</v>
      </c>
      <c r="G18" s="28" t="s">
        <v>604</v>
      </c>
      <c r="H18" s="29" t="s">
        <v>613</v>
      </c>
      <c r="I18" s="57">
        <v>2</v>
      </c>
      <c r="J18" s="31" t="s">
        <v>140</v>
      </c>
      <c r="K18" s="114" t="s">
        <v>614</v>
      </c>
      <c r="L18" s="58"/>
      <c r="M18" s="58">
        <v>250</v>
      </c>
      <c r="N18" s="31"/>
      <c r="O18" s="58">
        <v>0</v>
      </c>
      <c r="P18" s="306"/>
      <c r="Q18" s="142" t="s">
        <v>45</v>
      </c>
      <c r="R18" s="142" t="s">
        <v>84</v>
      </c>
      <c r="S18" s="172" t="s">
        <v>47</v>
      </c>
      <c r="T18" s="172">
        <v>-5</v>
      </c>
      <c r="U18" s="172" t="s">
        <v>62</v>
      </c>
      <c r="V18" s="173">
        <v>1</v>
      </c>
      <c r="W18" s="172" t="s">
        <v>139</v>
      </c>
      <c r="X18" s="172">
        <v>1000</v>
      </c>
      <c r="Y18" s="172" t="s">
        <v>87</v>
      </c>
      <c r="Z18" s="307" t="s">
        <v>455</v>
      </c>
      <c r="AA18" s="172" t="s">
        <v>615</v>
      </c>
      <c r="AB18" s="223">
        <v>0.17100000000000001</v>
      </c>
      <c r="AC18" s="59">
        <v>0.99</v>
      </c>
      <c r="AD18" s="59">
        <v>3.2</v>
      </c>
      <c r="AE18" s="197" t="s">
        <v>616</v>
      </c>
    </row>
    <row r="19" spans="1:31" ht="68.25" customHeight="1" x14ac:dyDescent="0.25">
      <c r="A19" s="330">
        <v>41387</v>
      </c>
      <c r="B19" s="330">
        <v>41388</v>
      </c>
      <c r="C19" s="309" t="s">
        <v>593</v>
      </c>
      <c r="D19" s="3">
        <v>89</v>
      </c>
      <c r="E19" s="305">
        <v>87</v>
      </c>
      <c r="F19" s="57">
        <v>40</v>
      </c>
      <c r="G19" s="28" t="s">
        <v>594</v>
      </c>
      <c r="H19" s="29" t="s">
        <v>554</v>
      </c>
      <c r="I19" s="57">
        <v>2</v>
      </c>
      <c r="J19" s="31"/>
      <c r="K19" s="114" t="s">
        <v>595</v>
      </c>
      <c r="L19" s="58" t="s">
        <v>596</v>
      </c>
      <c r="M19" s="58" t="s">
        <v>529</v>
      </c>
      <c r="N19" s="31" t="s">
        <v>599</v>
      </c>
      <c r="O19" s="58"/>
      <c r="P19" s="306"/>
      <c r="Q19" s="142" t="s">
        <v>45</v>
      </c>
      <c r="R19" s="142" t="s">
        <v>46</v>
      </c>
      <c r="S19" s="172" t="s">
        <v>47</v>
      </c>
      <c r="T19" s="172">
        <v>-5</v>
      </c>
      <c r="U19" s="172" t="s">
        <v>597</v>
      </c>
      <c r="V19" s="173" t="s">
        <v>581</v>
      </c>
      <c r="W19" s="172" t="s">
        <v>122</v>
      </c>
      <c r="X19" s="172">
        <v>1600</v>
      </c>
      <c r="Y19" s="172" t="s">
        <v>330</v>
      </c>
      <c r="Z19" s="307" t="s">
        <v>509</v>
      </c>
      <c r="AA19" s="172">
        <v>117</v>
      </c>
      <c r="AB19" s="223">
        <v>0.159</v>
      </c>
      <c r="AC19" s="59">
        <v>0.97</v>
      </c>
      <c r="AD19" s="59"/>
      <c r="AE19" s="197" t="s">
        <v>674</v>
      </c>
    </row>
    <row r="20" spans="1:31" ht="68.25" customHeight="1" x14ac:dyDescent="0.25">
      <c r="A20" s="330">
        <v>41387</v>
      </c>
      <c r="B20" s="330">
        <v>41388</v>
      </c>
      <c r="C20" s="309" t="s">
        <v>598</v>
      </c>
      <c r="D20" s="3">
        <v>90</v>
      </c>
      <c r="E20" s="305">
        <v>103</v>
      </c>
      <c r="F20" s="57">
        <v>22</v>
      </c>
      <c r="G20" s="28" t="s">
        <v>204</v>
      </c>
      <c r="H20" s="29" t="s">
        <v>554</v>
      </c>
      <c r="I20" s="57">
        <v>2</v>
      </c>
      <c r="J20" s="31"/>
      <c r="K20" s="114" t="s">
        <v>76</v>
      </c>
      <c r="L20" s="58">
        <v>5</v>
      </c>
      <c r="M20" s="58">
        <v>50</v>
      </c>
      <c r="N20" s="31" t="s">
        <v>600</v>
      </c>
      <c r="O20" s="58"/>
      <c r="P20" s="306"/>
      <c r="Q20" s="142" t="s">
        <v>45</v>
      </c>
      <c r="R20" s="142" t="s">
        <v>84</v>
      </c>
      <c r="S20" s="172" t="s">
        <v>47</v>
      </c>
      <c r="T20" s="172">
        <v>-5</v>
      </c>
      <c r="U20" s="172"/>
      <c r="V20" s="173">
        <v>1</v>
      </c>
      <c r="W20" s="172" t="s">
        <v>139</v>
      </c>
      <c r="X20" s="172">
        <v>1000</v>
      </c>
      <c r="Y20" s="172" t="s">
        <v>87</v>
      </c>
      <c r="Z20" s="307" t="s">
        <v>475</v>
      </c>
      <c r="AA20" s="172">
        <v>145</v>
      </c>
      <c r="AB20" s="223">
        <v>0.17530000000000001</v>
      </c>
      <c r="AC20" s="59">
        <v>0.97</v>
      </c>
      <c r="AD20" s="59"/>
      <c r="AE20" s="197" t="s">
        <v>601</v>
      </c>
    </row>
    <row r="21" spans="1:31" ht="68.25" customHeight="1" x14ac:dyDescent="0.25">
      <c r="A21" s="330">
        <v>41387</v>
      </c>
      <c r="B21" s="330">
        <v>41388</v>
      </c>
      <c r="C21" s="309" t="s">
        <v>602</v>
      </c>
      <c r="D21" s="3">
        <v>91</v>
      </c>
      <c r="E21" s="305">
        <v>104</v>
      </c>
      <c r="F21" s="57">
        <v>22</v>
      </c>
      <c r="G21" s="28" t="s">
        <v>204</v>
      </c>
      <c r="H21" s="29" t="s">
        <v>554</v>
      </c>
      <c r="I21" s="57">
        <v>2</v>
      </c>
      <c r="J21" s="31"/>
      <c r="K21" s="114" t="s">
        <v>619</v>
      </c>
      <c r="L21" s="58" t="s">
        <v>622</v>
      </c>
      <c r="M21" s="58">
        <v>50</v>
      </c>
      <c r="N21" s="31"/>
      <c r="O21" s="58" t="s">
        <v>141</v>
      </c>
      <c r="P21" s="306"/>
      <c r="Q21" s="142" t="s">
        <v>45</v>
      </c>
      <c r="R21" s="142" t="s">
        <v>84</v>
      </c>
      <c r="S21" s="172" t="s">
        <v>47</v>
      </c>
      <c r="T21" s="172">
        <v>-5</v>
      </c>
      <c r="U21" s="172"/>
      <c r="V21" s="173">
        <v>1</v>
      </c>
      <c r="W21" s="172" t="s">
        <v>139</v>
      </c>
      <c r="X21" s="172">
        <v>1000</v>
      </c>
      <c r="Y21" s="172" t="s">
        <v>87</v>
      </c>
      <c r="Z21" s="307" t="s">
        <v>117</v>
      </c>
      <c r="AA21" s="172">
        <v>266</v>
      </c>
      <c r="AB21" s="223">
        <v>0.17530000000000001</v>
      </c>
      <c r="AC21" s="59">
        <v>0.97</v>
      </c>
      <c r="AD21" s="59"/>
      <c r="AE21" s="197" t="s">
        <v>617</v>
      </c>
    </row>
    <row r="22" spans="1:31" ht="68.25" customHeight="1" x14ac:dyDescent="0.25">
      <c r="A22" s="330">
        <v>41387</v>
      </c>
      <c r="B22" s="330">
        <v>41388</v>
      </c>
      <c r="C22" s="309" t="s">
        <v>618</v>
      </c>
      <c r="D22" s="3">
        <v>92</v>
      </c>
      <c r="E22" s="305">
        <v>105</v>
      </c>
      <c r="F22" s="57">
        <v>22</v>
      </c>
      <c r="G22" s="28" t="s">
        <v>204</v>
      </c>
      <c r="H22" s="29" t="s">
        <v>554</v>
      </c>
      <c r="I22" s="57">
        <v>2</v>
      </c>
      <c r="J22" s="31"/>
      <c r="K22" s="114" t="s">
        <v>621</v>
      </c>
      <c r="L22" s="58" t="s">
        <v>623</v>
      </c>
      <c r="M22" s="58">
        <v>50</v>
      </c>
      <c r="N22" s="31"/>
      <c r="O22" s="58"/>
      <c r="P22" s="306"/>
      <c r="Q22" s="142" t="s">
        <v>45</v>
      </c>
      <c r="R22" s="142" t="s">
        <v>84</v>
      </c>
      <c r="S22" s="172" t="s">
        <v>47</v>
      </c>
      <c r="T22" s="172">
        <v>-5</v>
      </c>
      <c r="U22" s="172"/>
      <c r="V22" s="173">
        <v>1</v>
      </c>
      <c r="W22" s="172" t="s">
        <v>139</v>
      </c>
      <c r="X22" s="172">
        <v>1000</v>
      </c>
      <c r="Y22" s="172" t="s">
        <v>87</v>
      </c>
      <c r="Z22" s="307" t="s">
        <v>455</v>
      </c>
      <c r="AA22" s="172">
        <v>260</v>
      </c>
      <c r="AB22" s="223">
        <v>0.20499999999999999</v>
      </c>
      <c r="AC22" s="59">
        <v>0.97</v>
      </c>
      <c r="AD22" s="59"/>
      <c r="AE22" s="197" t="s">
        <v>620</v>
      </c>
    </row>
    <row r="23" spans="1:31" ht="68.25" customHeight="1" x14ac:dyDescent="0.25">
      <c r="A23" s="325">
        <v>41390</v>
      </c>
      <c r="B23" s="325">
        <v>41391</v>
      </c>
      <c r="C23" s="21" t="s">
        <v>628</v>
      </c>
      <c r="D23" s="3">
        <v>93</v>
      </c>
      <c r="E23" s="295">
        <v>38</v>
      </c>
      <c r="F23" s="57">
        <v>20</v>
      </c>
      <c r="G23" s="28" t="s">
        <v>624</v>
      </c>
      <c r="H23" s="29" t="s">
        <v>625</v>
      </c>
      <c r="I23" s="57">
        <v>2</v>
      </c>
      <c r="J23" s="31"/>
      <c r="K23" s="114" t="s">
        <v>626</v>
      </c>
      <c r="L23" s="58" t="s">
        <v>627</v>
      </c>
      <c r="M23" s="58">
        <v>250</v>
      </c>
      <c r="N23" s="31"/>
      <c r="O23" s="58"/>
      <c r="P23" s="306"/>
      <c r="Q23" s="142" t="s">
        <v>45</v>
      </c>
      <c r="R23" s="142" t="s">
        <v>84</v>
      </c>
      <c r="S23" s="172" t="s">
        <v>47</v>
      </c>
      <c r="T23" s="172">
        <v>-5</v>
      </c>
      <c r="U23" s="172"/>
      <c r="V23" s="173">
        <v>1</v>
      </c>
      <c r="W23" s="172" t="s">
        <v>139</v>
      </c>
      <c r="X23" s="172">
        <v>1000</v>
      </c>
      <c r="Y23" s="172" t="s">
        <v>87</v>
      </c>
      <c r="Z23" s="307" t="s">
        <v>482</v>
      </c>
      <c r="AA23" s="172">
        <v>101</v>
      </c>
      <c r="AB23" s="223">
        <v>0.16669999999999999</v>
      </c>
      <c r="AC23" s="59">
        <v>0.97599999999999998</v>
      </c>
      <c r="AD23" s="59"/>
      <c r="AE23" s="197" t="s">
        <v>630</v>
      </c>
    </row>
    <row r="24" spans="1:31" ht="68.25" customHeight="1" x14ac:dyDescent="0.25">
      <c r="A24" s="330">
        <v>41390</v>
      </c>
      <c r="B24" s="325">
        <v>41391</v>
      </c>
      <c r="C24" s="309" t="s">
        <v>633</v>
      </c>
      <c r="D24" s="3">
        <v>94</v>
      </c>
      <c r="E24" s="305">
        <v>39</v>
      </c>
      <c r="F24" s="57">
        <v>20</v>
      </c>
      <c r="G24" s="28" t="s">
        <v>629</v>
      </c>
      <c r="H24" s="29" t="s">
        <v>625</v>
      </c>
      <c r="I24" s="57">
        <v>2</v>
      </c>
      <c r="J24" s="31"/>
      <c r="K24" s="114"/>
      <c r="L24" s="58"/>
      <c r="M24" s="58">
        <v>250</v>
      </c>
      <c r="N24" s="31"/>
      <c r="O24" s="58"/>
      <c r="P24" s="306"/>
      <c r="Q24" s="142" t="s">
        <v>45</v>
      </c>
      <c r="R24" s="142" t="s">
        <v>84</v>
      </c>
      <c r="S24" s="172" t="s">
        <v>47</v>
      </c>
      <c r="T24" s="172">
        <v>-5</v>
      </c>
      <c r="U24" s="172"/>
      <c r="V24" s="173">
        <v>1</v>
      </c>
      <c r="W24" s="172" t="s">
        <v>139</v>
      </c>
      <c r="X24" s="172">
        <v>1000</v>
      </c>
      <c r="Y24" s="172" t="s">
        <v>87</v>
      </c>
      <c r="Z24" s="307" t="s">
        <v>482</v>
      </c>
      <c r="AA24" s="172" t="s">
        <v>631</v>
      </c>
      <c r="AB24" s="223">
        <v>0.16669999999999999</v>
      </c>
      <c r="AC24" s="59">
        <v>0.97599999999999998</v>
      </c>
      <c r="AD24" s="59">
        <v>2.8</v>
      </c>
      <c r="AE24" s="197" t="s">
        <v>632</v>
      </c>
    </row>
    <row r="25" spans="1:31" ht="68.25" customHeight="1" x14ac:dyDescent="0.25">
      <c r="A25" s="330">
        <v>41390</v>
      </c>
      <c r="B25" s="325">
        <v>41391</v>
      </c>
      <c r="C25" s="21" t="s">
        <v>634</v>
      </c>
      <c r="D25" s="3">
        <v>95</v>
      </c>
      <c r="E25" s="305">
        <v>40</v>
      </c>
      <c r="F25" s="57">
        <v>20</v>
      </c>
      <c r="G25" s="28" t="s">
        <v>629</v>
      </c>
      <c r="H25" s="29" t="s">
        <v>635</v>
      </c>
      <c r="I25" s="57">
        <v>2</v>
      </c>
      <c r="J25" s="31"/>
      <c r="K25" s="114" t="s">
        <v>636</v>
      </c>
      <c r="L25" s="58" t="s">
        <v>637</v>
      </c>
      <c r="M25" s="58">
        <v>250</v>
      </c>
      <c r="N25" s="31"/>
      <c r="O25" s="58">
        <v>8</v>
      </c>
      <c r="P25" s="306"/>
      <c r="Q25" s="142" t="s">
        <v>45</v>
      </c>
      <c r="R25" s="142" t="s">
        <v>84</v>
      </c>
      <c r="S25" s="172" t="s">
        <v>47</v>
      </c>
      <c r="T25" s="172">
        <v>-5</v>
      </c>
      <c r="U25" s="172"/>
      <c r="V25" s="173">
        <v>1</v>
      </c>
      <c r="W25" s="172" t="s">
        <v>139</v>
      </c>
      <c r="X25" s="172">
        <v>1000</v>
      </c>
      <c r="Y25" s="172" t="s">
        <v>87</v>
      </c>
      <c r="Z25" s="307" t="s">
        <v>493</v>
      </c>
      <c r="AA25" s="172">
        <v>196</v>
      </c>
      <c r="AB25" s="223">
        <v>0.17799999999999999</v>
      </c>
      <c r="AC25" s="59">
        <v>0.97599999999999998</v>
      </c>
      <c r="AD25" s="59">
        <v>2.8</v>
      </c>
      <c r="AE25" s="197" t="s">
        <v>638</v>
      </c>
    </row>
    <row r="26" spans="1:31" ht="68.25" customHeight="1" x14ac:dyDescent="0.25">
      <c r="A26" s="325">
        <v>41390</v>
      </c>
      <c r="B26" s="325">
        <v>41391</v>
      </c>
      <c r="C26" s="21" t="s">
        <v>641</v>
      </c>
      <c r="D26" s="3">
        <v>96</v>
      </c>
      <c r="E26" s="3">
        <v>72</v>
      </c>
      <c r="F26" s="3">
        <v>34</v>
      </c>
      <c r="G26" s="7" t="s">
        <v>644</v>
      </c>
      <c r="H26" s="9" t="s">
        <v>647</v>
      </c>
      <c r="I26" s="3">
        <v>2</v>
      </c>
      <c r="J26" s="24" t="s">
        <v>640</v>
      </c>
      <c r="K26" s="23" t="s">
        <v>639</v>
      </c>
      <c r="L26" s="4">
        <v>9</v>
      </c>
      <c r="M26" s="4">
        <v>250</v>
      </c>
      <c r="N26" s="24"/>
      <c r="O26" s="4">
        <v>8</v>
      </c>
      <c r="P26" s="245"/>
      <c r="Q26" s="142" t="s">
        <v>45</v>
      </c>
      <c r="R26" s="142" t="s">
        <v>84</v>
      </c>
      <c r="S26" s="172" t="s">
        <v>47</v>
      </c>
      <c r="T26" s="172">
        <v>-5</v>
      </c>
      <c r="U26" s="172"/>
      <c r="V26" s="173">
        <v>1</v>
      </c>
      <c r="W26" s="172" t="s">
        <v>139</v>
      </c>
      <c r="X26" s="172">
        <v>1000</v>
      </c>
      <c r="Y26" s="172" t="s">
        <v>87</v>
      </c>
      <c r="Z26" s="215" t="s">
        <v>414</v>
      </c>
      <c r="AA26" s="142">
        <v>59</v>
      </c>
      <c r="AB26" s="225">
        <v>0.21</v>
      </c>
      <c r="AC26" s="5">
        <v>0.97599999999999998</v>
      </c>
      <c r="AD26" s="5">
        <v>2.8</v>
      </c>
      <c r="AE26" s="192" t="s">
        <v>646</v>
      </c>
    </row>
    <row r="27" spans="1:31" ht="68.25" customHeight="1" x14ac:dyDescent="0.25">
      <c r="A27" s="325">
        <v>41390</v>
      </c>
      <c r="B27" s="325">
        <v>41391</v>
      </c>
      <c r="C27" s="13" t="s">
        <v>643</v>
      </c>
      <c r="D27" s="2">
        <v>97</v>
      </c>
      <c r="E27" s="2">
        <v>73</v>
      </c>
      <c r="F27" s="3">
        <v>34</v>
      </c>
      <c r="G27" s="7" t="s">
        <v>645</v>
      </c>
      <c r="H27" s="9" t="s">
        <v>647</v>
      </c>
      <c r="I27" s="3">
        <v>2</v>
      </c>
      <c r="J27" s="24" t="s">
        <v>640</v>
      </c>
      <c r="K27" s="23" t="s">
        <v>538</v>
      </c>
      <c r="L27" s="4">
        <v>15</v>
      </c>
      <c r="M27" s="4">
        <v>250</v>
      </c>
      <c r="N27" s="24"/>
      <c r="O27" s="4">
        <v>8</v>
      </c>
      <c r="P27" s="245"/>
      <c r="Q27" s="142" t="s">
        <v>45</v>
      </c>
      <c r="R27" s="142" t="s">
        <v>84</v>
      </c>
      <c r="S27" s="142" t="s">
        <v>47</v>
      </c>
      <c r="T27" s="142">
        <v>-5</v>
      </c>
      <c r="U27" s="142"/>
      <c r="V27" s="143">
        <v>1</v>
      </c>
      <c r="W27" s="142" t="s">
        <v>139</v>
      </c>
      <c r="X27" s="142">
        <v>1000</v>
      </c>
      <c r="Y27" s="142" t="s">
        <v>87</v>
      </c>
      <c r="Z27" s="215" t="s">
        <v>414</v>
      </c>
      <c r="AA27" s="142" t="s">
        <v>642</v>
      </c>
      <c r="AB27" s="225">
        <v>0.21</v>
      </c>
      <c r="AC27" s="5">
        <v>0.97599999999999998</v>
      </c>
      <c r="AD27" s="5">
        <v>2.8</v>
      </c>
      <c r="AE27" s="192" t="s">
        <v>722</v>
      </c>
    </row>
    <row r="28" spans="1:31" ht="68.25" customHeight="1" x14ac:dyDescent="0.25">
      <c r="A28" s="325">
        <v>41393</v>
      </c>
      <c r="B28" s="325">
        <v>41394</v>
      </c>
      <c r="C28" s="13" t="s">
        <v>679</v>
      </c>
      <c r="D28" s="2">
        <v>98</v>
      </c>
      <c r="E28" s="2">
        <v>118</v>
      </c>
      <c r="F28" s="3">
        <v>23</v>
      </c>
      <c r="G28" s="7" t="s">
        <v>648</v>
      </c>
      <c r="H28" s="9" t="s">
        <v>650</v>
      </c>
      <c r="I28" s="3"/>
      <c r="J28" s="24" t="s">
        <v>651</v>
      </c>
      <c r="K28" s="23" t="s">
        <v>649</v>
      </c>
      <c r="L28" s="4" t="s">
        <v>652</v>
      </c>
      <c r="M28" s="4">
        <v>250</v>
      </c>
      <c r="N28" s="24"/>
      <c r="O28" s="4" t="s">
        <v>62</v>
      </c>
      <c r="P28" s="245" t="s">
        <v>62</v>
      </c>
      <c r="Q28" s="142" t="s">
        <v>45</v>
      </c>
      <c r="R28" s="142" t="s">
        <v>84</v>
      </c>
      <c r="S28" s="142" t="s">
        <v>47</v>
      </c>
      <c r="T28" s="142">
        <v>-5</v>
      </c>
      <c r="U28" s="142"/>
      <c r="V28" s="143">
        <v>1</v>
      </c>
      <c r="W28" s="142" t="s">
        <v>139</v>
      </c>
      <c r="X28" s="142">
        <v>1000</v>
      </c>
      <c r="Y28" s="142" t="s">
        <v>87</v>
      </c>
      <c r="Z28" s="215" t="s">
        <v>523</v>
      </c>
      <c r="AA28" s="142" t="s">
        <v>653</v>
      </c>
      <c r="AB28" s="225">
        <v>0.1734</v>
      </c>
      <c r="AC28" s="5">
        <v>0.98299999999999998</v>
      </c>
      <c r="AD28" s="5">
        <v>3.2</v>
      </c>
      <c r="AE28" s="192" t="s">
        <v>658</v>
      </c>
    </row>
    <row r="29" spans="1:31" ht="68.25" customHeight="1" x14ac:dyDescent="0.25">
      <c r="A29" s="325">
        <v>41393</v>
      </c>
      <c r="B29" s="325">
        <v>41394</v>
      </c>
      <c r="C29" s="13" t="s">
        <v>680</v>
      </c>
      <c r="D29" s="2">
        <v>99</v>
      </c>
      <c r="E29" s="2">
        <v>119</v>
      </c>
      <c r="F29" s="3">
        <v>23</v>
      </c>
      <c r="G29" s="7" t="s">
        <v>648</v>
      </c>
      <c r="H29" s="9" t="s">
        <v>650</v>
      </c>
      <c r="I29" s="3">
        <v>2</v>
      </c>
      <c r="J29" s="24" t="s">
        <v>651</v>
      </c>
      <c r="K29" s="23" t="s">
        <v>654</v>
      </c>
      <c r="L29" s="4" t="s">
        <v>655</v>
      </c>
      <c r="M29" s="4">
        <v>250</v>
      </c>
      <c r="N29" s="24" t="s">
        <v>656</v>
      </c>
      <c r="O29" s="4" t="s">
        <v>62</v>
      </c>
      <c r="P29" s="245" t="s">
        <v>62</v>
      </c>
      <c r="Q29" s="142" t="s">
        <v>45</v>
      </c>
      <c r="R29" s="142" t="s">
        <v>84</v>
      </c>
      <c r="S29" s="142" t="s">
        <v>47</v>
      </c>
      <c r="T29" s="142">
        <v>-5</v>
      </c>
      <c r="U29" s="142"/>
      <c r="V29" s="143">
        <v>1</v>
      </c>
      <c r="W29" s="142" t="s">
        <v>139</v>
      </c>
      <c r="X29" s="142">
        <v>1000</v>
      </c>
      <c r="Y29" s="142" t="s">
        <v>87</v>
      </c>
      <c r="Z29" s="215" t="s">
        <v>523</v>
      </c>
      <c r="AA29" s="142" t="s">
        <v>657</v>
      </c>
      <c r="AB29" s="225">
        <v>0.1734</v>
      </c>
      <c r="AC29" s="5">
        <v>0.98299999999999998</v>
      </c>
      <c r="AD29" s="5">
        <v>3.2</v>
      </c>
      <c r="AE29" s="192" t="s">
        <v>659</v>
      </c>
    </row>
    <row r="30" spans="1:31" ht="68.25" customHeight="1" x14ac:dyDescent="0.25">
      <c r="A30" s="325">
        <v>41396</v>
      </c>
      <c r="B30" s="325">
        <v>41397</v>
      </c>
      <c r="C30" s="13" t="s">
        <v>681</v>
      </c>
      <c r="D30" s="2">
        <v>100</v>
      </c>
      <c r="E30" s="2">
        <v>89</v>
      </c>
      <c r="F30" s="3">
        <v>44</v>
      </c>
      <c r="G30" s="7" t="s">
        <v>660</v>
      </c>
      <c r="H30" s="9" t="s">
        <v>661</v>
      </c>
      <c r="I30" s="3">
        <v>2</v>
      </c>
      <c r="J30" s="24" t="s">
        <v>651</v>
      </c>
      <c r="K30" s="23" t="s">
        <v>662</v>
      </c>
      <c r="L30" s="4" t="s">
        <v>663</v>
      </c>
      <c r="M30" s="4">
        <v>50</v>
      </c>
      <c r="N30" s="24" t="s">
        <v>665</v>
      </c>
      <c r="O30" s="4"/>
      <c r="P30" s="245"/>
      <c r="Q30" s="142" t="s">
        <v>45</v>
      </c>
      <c r="R30" s="142" t="s">
        <v>46</v>
      </c>
      <c r="S30" s="142" t="s">
        <v>47</v>
      </c>
      <c r="T30" s="142">
        <v>-5</v>
      </c>
      <c r="U30" s="142" t="s">
        <v>664</v>
      </c>
      <c r="V30" s="143" t="s">
        <v>581</v>
      </c>
      <c r="W30" s="142" t="s">
        <v>122</v>
      </c>
      <c r="X30" s="142">
        <v>1600</v>
      </c>
      <c r="Y30" s="142" t="s">
        <v>578</v>
      </c>
      <c r="Z30" s="215" t="s">
        <v>455</v>
      </c>
      <c r="AA30" s="142">
        <v>135</v>
      </c>
      <c r="AB30" s="225">
        <v>0.1605</v>
      </c>
      <c r="AC30" s="5">
        <v>0.98199999999999998</v>
      </c>
      <c r="AD30" s="5">
        <v>3.4</v>
      </c>
      <c r="AE30" s="192" t="s">
        <v>666</v>
      </c>
    </row>
    <row r="31" spans="1:31" ht="68.25" customHeight="1" x14ac:dyDescent="0.25">
      <c r="A31" s="325">
        <v>41396</v>
      </c>
      <c r="B31" s="325">
        <v>41397</v>
      </c>
      <c r="C31" s="13" t="s">
        <v>682</v>
      </c>
      <c r="D31" s="2">
        <v>101</v>
      </c>
      <c r="E31" s="2">
        <v>95</v>
      </c>
      <c r="F31" s="3">
        <v>44</v>
      </c>
      <c r="G31" s="318" t="s">
        <v>669</v>
      </c>
      <c r="H31" s="9" t="s">
        <v>661</v>
      </c>
      <c r="I31" s="3">
        <v>2</v>
      </c>
      <c r="J31" s="24" t="s">
        <v>651</v>
      </c>
      <c r="K31" s="23" t="s">
        <v>667</v>
      </c>
      <c r="L31" s="4" t="s">
        <v>668</v>
      </c>
      <c r="M31" s="4">
        <v>250</v>
      </c>
      <c r="N31" s="24" t="s">
        <v>62</v>
      </c>
      <c r="O31" s="4"/>
      <c r="P31" s="245" t="s">
        <v>62</v>
      </c>
      <c r="Q31" s="142" t="s">
        <v>45</v>
      </c>
      <c r="R31" s="142" t="s">
        <v>46</v>
      </c>
      <c r="S31" s="142" t="s">
        <v>47</v>
      </c>
      <c r="T31" s="142">
        <v>-5</v>
      </c>
      <c r="U31" s="142"/>
      <c r="V31" s="143" t="s">
        <v>581</v>
      </c>
      <c r="W31" s="142" t="s">
        <v>122</v>
      </c>
      <c r="X31" s="142">
        <v>1600</v>
      </c>
      <c r="Y31" s="142" t="s">
        <v>578</v>
      </c>
      <c r="Z31" s="215" t="s">
        <v>455</v>
      </c>
      <c r="AA31" s="142">
        <v>0</v>
      </c>
      <c r="AB31" s="225">
        <v>0.1605</v>
      </c>
      <c r="AC31" s="5">
        <v>0.98199999999999998</v>
      </c>
      <c r="AD31" s="5">
        <v>3.4</v>
      </c>
      <c r="AE31" s="192" t="s">
        <v>670</v>
      </c>
    </row>
    <row r="32" spans="1:31" ht="68.25" customHeight="1" x14ac:dyDescent="0.25">
      <c r="A32" s="325">
        <v>41396</v>
      </c>
      <c r="B32" s="325">
        <v>41397</v>
      </c>
      <c r="C32" s="13" t="s">
        <v>683</v>
      </c>
      <c r="D32" s="2">
        <v>102</v>
      </c>
      <c r="E32" s="2">
        <v>92</v>
      </c>
      <c r="F32" s="3">
        <v>40</v>
      </c>
      <c r="G32" s="28" t="s">
        <v>594</v>
      </c>
      <c r="H32" s="9" t="s">
        <v>661</v>
      </c>
      <c r="I32" s="3">
        <v>2</v>
      </c>
      <c r="J32" s="24" t="s">
        <v>651</v>
      </c>
      <c r="K32" s="23" t="s">
        <v>671</v>
      </c>
      <c r="L32" s="4" t="s">
        <v>672</v>
      </c>
      <c r="M32" s="4">
        <v>250</v>
      </c>
      <c r="N32" s="24"/>
      <c r="O32" s="4" t="s">
        <v>62</v>
      </c>
      <c r="P32" s="245" t="s">
        <v>62</v>
      </c>
      <c r="Q32" s="142" t="s">
        <v>45</v>
      </c>
      <c r="R32" s="142" t="s">
        <v>46</v>
      </c>
      <c r="S32" s="142" t="s">
        <v>47</v>
      </c>
      <c r="T32" s="142">
        <v>-5</v>
      </c>
      <c r="U32" s="142" t="s">
        <v>50</v>
      </c>
      <c r="V32" s="143" t="s">
        <v>581</v>
      </c>
      <c r="W32" s="142" t="s">
        <v>122</v>
      </c>
      <c r="X32" s="142">
        <v>1600</v>
      </c>
      <c r="Y32" s="142" t="s">
        <v>578</v>
      </c>
      <c r="Z32" s="215" t="s">
        <v>475</v>
      </c>
      <c r="AA32" s="142">
        <v>81</v>
      </c>
      <c r="AB32" s="225">
        <v>0.16300000000000001</v>
      </c>
      <c r="AC32" s="5">
        <v>0.98199999999999998</v>
      </c>
      <c r="AD32" s="5">
        <v>3.4</v>
      </c>
      <c r="AE32" s="192" t="s">
        <v>673</v>
      </c>
    </row>
    <row r="33" spans="1:31" ht="68.25" customHeight="1" x14ac:dyDescent="0.25">
      <c r="A33" s="325">
        <v>41396</v>
      </c>
      <c r="B33" s="325">
        <v>41397</v>
      </c>
      <c r="C33" s="13" t="s">
        <v>683</v>
      </c>
      <c r="D33" s="2">
        <v>103</v>
      </c>
      <c r="E33" s="2">
        <v>78</v>
      </c>
      <c r="F33" s="3">
        <v>42</v>
      </c>
      <c r="G33" s="7" t="s">
        <v>496</v>
      </c>
      <c r="H33" s="9" t="s">
        <v>661</v>
      </c>
      <c r="I33" s="3">
        <v>2</v>
      </c>
      <c r="J33" s="24" t="s">
        <v>677</v>
      </c>
      <c r="K33" s="23" t="s">
        <v>671</v>
      </c>
      <c r="L33" s="4"/>
      <c r="M33" s="12" t="s">
        <v>676</v>
      </c>
      <c r="N33" s="24"/>
      <c r="O33" s="4"/>
      <c r="P33" s="245" t="s">
        <v>62</v>
      </c>
      <c r="Q33" s="142" t="s">
        <v>45</v>
      </c>
      <c r="R33" s="142" t="s">
        <v>84</v>
      </c>
      <c r="S33" s="142" t="s">
        <v>47</v>
      </c>
      <c r="T33" s="142">
        <v>-5</v>
      </c>
      <c r="U33" s="142" t="s">
        <v>62</v>
      </c>
      <c r="V33" s="143">
        <v>1</v>
      </c>
      <c r="W33" s="142" t="s">
        <v>139</v>
      </c>
      <c r="X33" s="142">
        <v>1000</v>
      </c>
      <c r="Y33" s="142" t="s">
        <v>87</v>
      </c>
      <c r="Z33" s="215" t="s">
        <v>475</v>
      </c>
      <c r="AA33" s="142">
        <v>328</v>
      </c>
      <c r="AB33" s="225">
        <v>0.16300000000000001</v>
      </c>
      <c r="AC33" s="5">
        <v>0.98199999999999998</v>
      </c>
      <c r="AD33" s="5">
        <v>3.4</v>
      </c>
      <c r="AE33" s="192" t="s">
        <v>675</v>
      </c>
    </row>
    <row r="34" spans="1:31" ht="68.25" customHeight="1" x14ac:dyDescent="0.25">
      <c r="A34" s="325">
        <v>74280</v>
      </c>
      <c r="B34" s="325">
        <v>41410</v>
      </c>
      <c r="C34" s="13" t="s">
        <v>686</v>
      </c>
      <c r="D34" s="2">
        <v>104</v>
      </c>
      <c r="E34" s="2">
        <v>50</v>
      </c>
      <c r="F34" s="3">
        <v>26</v>
      </c>
      <c r="G34" s="7" t="s">
        <v>648</v>
      </c>
      <c r="H34" s="9" t="s">
        <v>661</v>
      </c>
      <c r="I34" s="3">
        <v>2</v>
      </c>
      <c r="J34" s="24"/>
      <c r="K34" s="23" t="s">
        <v>76</v>
      </c>
      <c r="L34" s="4">
        <v>5</v>
      </c>
      <c r="M34" s="12">
        <v>50</v>
      </c>
      <c r="N34" s="24"/>
      <c r="O34" s="4"/>
      <c r="P34" s="245"/>
      <c r="Q34" s="142" t="s">
        <v>45</v>
      </c>
      <c r="R34" s="142" t="s">
        <v>84</v>
      </c>
      <c r="S34" s="142" t="s">
        <v>47</v>
      </c>
      <c r="T34" s="142">
        <v>-4</v>
      </c>
      <c r="U34" s="142" t="s">
        <v>62</v>
      </c>
      <c r="V34" s="143">
        <v>1</v>
      </c>
      <c r="W34" s="142" t="s">
        <v>139</v>
      </c>
      <c r="X34" s="142">
        <v>1000</v>
      </c>
      <c r="Y34" s="142" t="s">
        <v>87</v>
      </c>
      <c r="Z34" s="215" t="s">
        <v>117</v>
      </c>
      <c r="AA34" s="142" t="s">
        <v>684</v>
      </c>
      <c r="AB34" s="225">
        <v>0.17199999999999999</v>
      </c>
      <c r="AC34" s="5">
        <v>0.97699999999999998</v>
      </c>
      <c r="AD34" s="5">
        <v>2.2999999999999998</v>
      </c>
      <c r="AE34" s="192" t="s">
        <v>685</v>
      </c>
    </row>
    <row r="35" spans="1:31" ht="68.25" customHeight="1" x14ac:dyDescent="0.25">
      <c r="A35" s="325">
        <v>41409</v>
      </c>
      <c r="B35" s="325">
        <v>41410</v>
      </c>
      <c r="C35" s="13" t="s">
        <v>690</v>
      </c>
      <c r="D35" s="2">
        <v>105</v>
      </c>
      <c r="E35" s="2">
        <v>51</v>
      </c>
      <c r="F35" s="3">
        <v>26</v>
      </c>
      <c r="G35" s="7" t="s">
        <v>204</v>
      </c>
      <c r="H35" s="9" t="s">
        <v>687</v>
      </c>
      <c r="I35" s="3">
        <v>2</v>
      </c>
      <c r="J35" s="24"/>
      <c r="K35" s="23" t="s">
        <v>76</v>
      </c>
      <c r="L35" s="4">
        <v>5</v>
      </c>
      <c r="M35" s="12">
        <v>250</v>
      </c>
      <c r="N35" s="24"/>
      <c r="O35" s="4"/>
      <c r="P35" s="245"/>
      <c r="Q35" s="142" t="s">
        <v>45</v>
      </c>
      <c r="R35" s="142" t="s">
        <v>84</v>
      </c>
      <c r="S35" s="142" t="s">
        <v>47</v>
      </c>
      <c r="T35" s="142">
        <v>-4</v>
      </c>
      <c r="U35" s="142" t="s">
        <v>62</v>
      </c>
      <c r="V35" s="143">
        <v>1</v>
      </c>
      <c r="W35" s="142" t="s">
        <v>139</v>
      </c>
      <c r="X35" s="142">
        <v>1000</v>
      </c>
      <c r="Y35" s="142" t="s">
        <v>87</v>
      </c>
      <c r="Z35" s="215" t="s">
        <v>117</v>
      </c>
      <c r="AA35" s="142" t="s">
        <v>689</v>
      </c>
      <c r="AB35" s="225">
        <v>0.17199999999999999</v>
      </c>
      <c r="AC35" s="5">
        <v>0.97699999999999998</v>
      </c>
      <c r="AD35" s="5">
        <v>2.2999999999999998</v>
      </c>
      <c r="AE35" s="192" t="s">
        <v>688</v>
      </c>
    </row>
    <row r="36" spans="1:31" ht="68.25" customHeight="1" x14ac:dyDescent="0.25">
      <c r="A36" s="325">
        <v>41409</v>
      </c>
      <c r="B36" s="325">
        <v>41410</v>
      </c>
      <c r="C36" s="13" t="s">
        <v>694</v>
      </c>
      <c r="D36" s="2">
        <v>106</v>
      </c>
      <c r="E36" s="2">
        <v>52</v>
      </c>
      <c r="F36" s="3">
        <v>26</v>
      </c>
      <c r="G36" s="7" t="s">
        <v>204</v>
      </c>
      <c r="H36" s="9" t="s">
        <v>696</v>
      </c>
      <c r="I36" s="3">
        <v>2</v>
      </c>
      <c r="J36" s="24"/>
      <c r="K36" s="23" t="s">
        <v>691</v>
      </c>
      <c r="L36" s="4" t="s">
        <v>692</v>
      </c>
      <c r="M36" s="12">
        <v>250</v>
      </c>
      <c r="N36" s="24"/>
      <c r="O36" s="4"/>
      <c r="P36" s="245"/>
      <c r="Q36" s="142" t="s">
        <v>45</v>
      </c>
      <c r="R36" s="142" t="s">
        <v>84</v>
      </c>
      <c r="S36" s="142" t="s">
        <v>47</v>
      </c>
      <c r="T36" s="142">
        <v>-4</v>
      </c>
      <c r="U36" s="142" t="s">
        <v>62</v>
      </c>
      <c r="V36" s="143">
        <v>1</v>
      </c>
      <c r="W36" s="142" t="s">
        <v>139</v>
      </c>
      <c r="X36" s="142">
        <v>1000</v>
      </c>
      <c r="Y36" s="142" t="s">
        <v>87</v>
      </c>
      <c r="Z36" s="215" t="s">
        <v>509</v>
      </c>
      <c r="AA36" s="142">
        <v>91</v>
      </c>
      <c r="AB36" s="225">
        <v>0.17100000000000001</v>
      </c>
      <c r="AC36" s="5">
        <v>0.97699999999999998</v>
      </c>
      <c r="AD36" s="5">
        <v>2.2999999999999998</v>
      </c>
      <c r="AE36" s="192" t="s">
        <v>693</v>
      </c>
    </row>
    <row r="37" spans="1:31" ht="68.25" customHeight="1" x14ac:dyDescent="0.25">
      <c r="A37" s="325">
        <v>41409</v>
      </c>
      <c r="B37" s="325">
        <v>41410</v>
      </c>
      <c r="C37" s="13" t="s">
        <v>678</v>
      </c>
      <c r="D37" s="2">
        <v>107</v>
      </c>
      <c r="E37" s="2">
        <v>53</v>
      </c>
      <c r="F37" s="3">
        <v>26</v>
      </c>
      <c r="G37" s="7" t="s">
        <v>204</v>
      </c>
      <c r="H37" s="9" t="s">
        <v>697</v>
      </c>
      <c r="I37" s="3">
        <v>2</v>
      </c>
      <c r="J37" s="24"/>
      <c r="K37" s="23" t="s">
        <v>695</v>
      </c>
      <c r="L37" s="4">
        <v>10</v>
      </c>
      <c r="M37" s="12">
        <v>250</v>
      </c>
      <c r="N37" s="24"/>
      <c r="O37" s="4"/>
      <c r="P37" s="245"/>
      <c r="Q37" s="142" t="s">
        <v>45</v>
      </c>
      <c r="R37" s="142" t="s">
        <v>84</v>
      </c>
      <c r="S37" s="142" t="s">
        <v>47</v>
      </c>
      <c r="T37" s="142">
        <v>-4</v>
      </c>
      <c r="U37" s="142" t="s">
        <v>62</v>
      </c>
      <c r="V37" s="143">
        <v>1</v>
      </c>
      <c r="W37" s="142" t="s">
        <v>139</v>
      </c>
      <c r="X37" s="142">
        <v>1000</v>
      </c>
      <c r="Y37" s="142" t="s">
        <v>87</v>
      </c>
      <c r="Z37" s="215" t="s">
        <v>509</v>
      </c>
      <c r="AA37" s="142">
        <v>0</v>
      </c>
      <c r="AB37" s="225">
        <v>0.17130000000000001</v>
      </c>
      <c r="AC37" s="5">
        <v>0.97699999999999998</v>
      </c>
      <c r="AD37" s="5">
        <v>2.2999999999999998</v>
      </c>
      <c r="AE37" s="192" t="s">
        <v>698</v>
      </c>
    </row>
    <row r="38" spans="1:31" ht="68.25" customHeight="1" x14ac:dyDescent="0.25">
      <c r="A38" s="325">
        <v>41411</v>
      </c>
      <c r="B38" s="325">
        <v>41412</v>
      </c>
      <c r="C38" s="13" t="s">
        <v>704</v>
      </c>
      <c r="D38" s="2">
        <v>108</v>
      </c>
      <c r="E38" s="2">
        <v>106</v>
      </c>
      <c r="F38" s="3">
        <v>26</v>
      </c>
      <c r="G38" s="7" t="s">
        <v>204</v>
      </c>
      <c r="H38" s="9" t="s">
        <v>699</v>
      </c>
      <c r="I38" s="3">
        <v>2</v>
      </c>
      <c r="J38" s="24"/>
      <c r="K38" s="23" t="s">
        <v>700</v>
      </c>
      <c r="L38" s="4" t="s">
        <v>701</v>
      </c>
      <c r="M38" s="12">
        <v>250</v>
      </c>
      <c r="N38" s="24"/>
      <c r="O38" s="4"/>
      <c r="P38" s="245"/>
      <c r="Q38" s="142" t="s">
        <v>45</v>
      </c>
      <c r="R38" s="142" t="s">
        <v>84</v>
      </c>
      <c r="S38" s="142" t="s">
        <v>47</v>
      </c>
      <c r="T38" s="142">
        <v>-5</v>
      </c>
      <c r="U38" s="142" t="s">
        <v>62</v>
      </c>
      <c r="V38" s="143">
        <v>1</v>
      </c>
      <c r="W38" s="142" t="s">
        <v>139</v>
      </c>
      <c r="X38" s="142">
        <v>1000</v>
      </c>
      <c r="Y38" s="142" t="s">
        <v>87</v>
      </c>
      <c r="Z38" s="215" t="s">
        <v>482</v>
      </c>
      <c r="AA38" s="142">
        <v>133</v>
      </c>
      <c r="AB38" s="225">
        <v>0.17169999999999999</v>
      </c>
      <c r="AC38" s="5">
        <v>0.98</v>
      </c>
      <c r="AD38" s="5">
        <v>1.9</v>
      </c>
      <c r="AE38" s="192" t="s">
        <v>702</v>
      </c>
    </row>
    <row r="39" spans="1:31" ht="68.25" customHeight="1" x14ac:dyDescent="0.25">
      <c r="A39" s="325">
        <v>41411</v>
      </c>
      <c r="B39" s="325">
        <v>41412</v>
      </c>
      <c r="C39" s="13" t="s">
        <v>709</v>
      </c>
      <c r="D39" s="2">
        <v>109</v>
      </c>
      <c r="E39" s="2">
        <v>107</v>
      </c>
      <c r="F39" s="3">
        <v>26</v>
      </c>
      <c r="G39" s="7" t="s">
        <v>204</v>
      </c>
      <c r="H39" s="9" t="s">
        <v>699</v>
      </c>
      <c r="I39" s="3">
        <v>2</v>
      </c>
      <c r="J39" s="24"/>
      <c r="K39" s="23" t="s">
        <v>707</v>
      </c>
      <c r="L39" s="4"/>
      <c r="M39" s="12">
        <v>250</v>
      </c>
      <c r="N39" s="24"/>
      <c r="O39" s="4"/>
      <c r="P39" s="245"/>
      <c r="Q39" s="142" t="s">
        <v>45</v>
      </c>
      <c r="R39" s="142" t="s">
        <v>84</v>
      </c>
      <c r="S39" s="142" t="s">
        <v>47</v>
      </c>
      <c r="T39" s="142">
        <v>-5</v>
      </c>
      <c r="U39" s="142" t="s">
        <v>62</v>
      </c>
      <c r="V39" s="143">
        <v>1</v>
      </c>
      <c r="W39" s="142" t="s">
        <v>139</v>
      </c>
      <c r="X39" s="142">
        <v>1000</v>
      </c>
      <c r="Y39" s="142" t="s">
        <v>87</v>
      </c>
      <c r="Z39" s="215" t="s">
        <v>482</v>
      </c>
      <c r="AA39" s="142"/>
      <c r="AB39" s="225">
        <v>0.17169999999999999</v>
      </c>
      <c r="AC39" s="5">
        <v>0.98</v>
      </c>
      <c r="AD39" s="5">
        <v>1.9</v>
      </c>
      <c r="AE39" s="192" t="s">
        <v>708</v>
      </c>
    </row>
    <row r="40" spans="1:31" ht="68.25" customHeight="1" x14ac:dyDescent="0.25">
      <c r="A40" s="325">
        <v>41411</v>
      </c>
      <c r="B40" s="325">
        <v>41412</v>
      </c>
      <c r="C40" s="13" t="s">
        <v>705</v>
      </c>
      <c r="D40" s="2">
        <v>110</v>
      </c>
      <c r="E40" s="2">
        <v>108</v>
      </c>
      <c r="F40" s="3">
        <v>26</v>
      </c>
      <c r="G40" s="7" t="s">
        <v>204</v>
      </c>
      <c r="H40" s="9" t="s">
        <v>699</v>
      </c>
      <c r="I40" s="3">
        <v>2</v>
      </c>
      <c r="J40" s="24"/>
      <c r="K40" s="23" t="s">
        <v>706</v>
      </c>
      <c r="L40" s="4"/>
      <c r="M40" s="12">
        <v>250</v>
      </c>
      <c r="N40" s="24"/>
      <c r="O40" s="4"/>
      <c r="P40" s="245"/>
      <c r="Q40" s="142" t="s">
        <v>45</v>
      </c>
      <c r="R40" s="142" t="s">
        <v>84</v>
      </c>
      <c r="S40" s="142" t="s">
        <v>47</v>
      </c>
      <c r="T40" s="142">
        <v>-5</v>
      </c>
      <c r="U40" s="142" t="s">
        <v>62</v>
      </c>
      <c r="V40" s="143">
        <v>1</v>
      </c>
      <c r="W40" s="142" t="s">
        <v>139</v>
      </c>
      <c r="X40" s="142">
        <v>1000</v>
      </c>
      <c r="Y40" s="142" t="s">
        <v>87</v>
      </c>
      <c r="Z40" s="215" t="s">
        <v>455</v>
      </c>
      <c r="AA40" s="142">
        <v>186</v>
      </c>
      <c r="AB40" s="225">
        <v>0.1724</v>
      </c>
      <c r="AC40" s="5">
        <v>0.98</v>
      </c>
      <c r="AD40" s="5">
        <v>1.9</v>
      </c>
      <c r="AE40" s="192" t="s">
        <v>710</v>
      </c>
    </row>
    <row r="41" spans="1:31" ht="68.25" customHeight="1" x14ac:dyDescent="0.25">
      <c r="A41" s="325">
        <v>41426</v>
      </c>
      <c r="B41" s="325">
        <v>41427</v>
      </c>
      <c r="C41" s="13" t="s">
        <v>703</v>
      </c>
      <c r="D41" s="2">
        <v>111</v>
      </c>
      <c r="E41" s="2">
        <v>109</v>
      </c>
      <c r="F41" s="3">
        <v>26</v>
      </c>
      <c r="G41" s="7" t="s">
        <v>204</v>
      </c>
      <c r="H41" s="9" t="s">
        <v>699</v>
      </c>
      <c r="I41" s="3">
        <v>2</v>
      </c>
      <c r="J41" s="24"/>
      <c r="K41" s="23" t="s">
        <v>713</v>
      </c>
      <c r="L41" s="4"/>
      <c r="M41" s="4">
        <v>250</v>
      </c>
      <c r="N41" s="24"/>
      <c r="O41" s="4"/>
      <c r="P41" s="245"/>
      <c r="Q41" s="142" t="s">
        <v>45</v>
      </c>
      <c r="R41" s="142" t="s">
        <v>84</v>
      </c>
      <c r="S41" s="142" t="s">
        <v>47</v>
      </c>
      <c r="T41" s="142">
        <v>-5</v>
      </c>
      <c r="U41" s="142" t="s">
        <v>62</v>
      </c>
      <c r="V41" s="143">
        <v>1</v>
      </c>
      <c r="W41" s="142" t="s">
        <v>139</v>
      </c>
      <c r="X41" s="142">
        <v>1000</v>
      </c>
      <c r="Y41" s="142" t="s">
        <v>87</v>
      </c>
      <c r="Z41" s="215" t="s">
        <v>523</v>
      </c>
      <c r="AA41" s="142" t="s">
        <v>712</v>
      </c>
      <c r="AB41" s="225">
        <v>0.1724</v>
      </c>
      <c r="AC41" s="5">
        <v>0.98</v>
      </c>
      <c r="AD41" s="5">
        <v>1.9</v>
      </c>
      <c r="AE41" s="192" t="s">
        <v>711</v>
      </c>
    </row>
    <row r="42" spans="1:31" ht="68.25" customHeight="1" x14ac:dyDescent="0.25">
      <c r="A42" s="325">
        <v>41426</v>
      </c>
      <c r="B42" s="325">
        <v>41427</v>
      </c>
      <c r="C42" s="13" t="s">
        <v>717</v>
      </c>
      <c r="D42" s="2">
        <v>112</v>
      </c>
      <c r="E42" s="2">
        <v>79</v>
      </c>
      <c r="F42" s="3">
        <v>42</v>
      </c>
      <c r="G42" s="7" t="s">
        <v>715</v>
      </c>
      <c r="H42" s="9" t="s">
        <v>714</v>
      </c>
      <c r="I42" s="3">
        <v>2</v>
      </c>
      <c r="J42" s="24"/>
      <c r="K42" s="23" t="s">
        <v>695</v>
      </c>
      <c r="L42" s="4"/>
      <c r="M42" s="4">
        <v>250</v>
      </c>
      <c r="N42" s="24"/>
      <c r="O42" s="4"/>
      <c r="P42" s="245"/>
      <c r="Q42" s="142" t="s">
        <v>45</v>
      </c>
      <c r="R42" s="142" t="s">
        <v>84</v>
      </c>
      <c r="S42" s="142" t="s">
        <v>47</v>
      </c>
      <c r="T42" s="142">
        <v>-5</v>
      </c>
      <c r="U42" s="142" t="s">
        <v>62</v>
      </c>
      <c r="V42" s="143">
        <v>1</v>
      </c>
      <c r="W42" s="142" t="s">
        <v>139</v>
      </c>
      <c r="X42" s="142">
        <v>1000</v>
      </c>
      <c r="Y42" s="142" t="s">
        <v>87</v>
      </c>
      <c r="Z42" s="215" t="s">
        <v>475</v>
      </c>
      <c r="AA42" s="142">
        <v>0</v>
      </c>
      <c r="AB42" s="225">
        <v>0.17399999999999999</v>
      </c>
      <c r="AC42" s="5">
        <v>0.99629999999999996</v>
      </c>
      <c r="AD42" s="5">
        <v>2.2999999999999998</v>
      </c>
      <c r="AE42" s="192" t="s">
        <v>716</v>
      </c>
    </row>
    <row r="43" spans="1:31" ht="68.25" customHeight="1" x14ac:dyDescent="0.25">
      <c r="A43" s="325">
        <v>41426</v>
      </c>
      <c r="B43" s="325">
        <v>41427</v>
      </c>
      <c r="C43" s="13" t="s">
        <v>719</v>
      </c>
      <c r="D43" s="2">
        <v>113</v>
      </c>
      <c r="E43" s="2">
        <v>80</v>
      </c>
      <c r="F43" s="3">
        <v>42</v>
      </c>
      <c r="G43" s="7" t="s">
        <v>715</v>
      </c>
      <c r="H43" s="9" t="s">
        <v>714</v>
      </c>
      <c r="I43" s="3">
        <v>2</v>
      </c>
      <c r="J43" s="24"/>
      <c r="K43" s="23" t="s">
        <v>695</v>
      </c>
      <c r="L43" s="4" t="s">
        <v>421</v>
      </c>
      <c r="M43" s="4">
        <v>250</v>
      </c>
      <c r="N43" s="24"/>
      <c r="O43" s="4"/>
      <c r="P43" s="245"/>
      <c r="Q43" s="142" t="s">
        <v>45</v>
      </c>
      <c r="R43" s="142" t="s">
        <v>84</v>
      </c>
      <c r="S43" s="142" t="s">
        <v>47</v>
      </c>
      <c r="T43" s="142">
        <v>-5</v>
      </c>
      <c r="U43" s="142" t="s">
        <v>62</v>
      </c>
      <c r="V43" s="143">
        <v>1</v>
      </c>
      <c r="W43" s="142" t="s">
        <v>139</v>
      </c>
      <c r="X43" s="142">
        <v>1000</v>
      </c>
      <c r="Y43" s="142" t="s">
        <v>87</v>
      </c>
      <c r="Z43" s="215" t="s">
        <v>475</v>
      </c>
      <c r="AA43" s="142">
        <v>0</v>
      </c>
      <c r="AB43" s="225">
        <v>0.21179999999999999</v>
      </c>
      <c r="AC43" s="5">
        <v>0.99629999999999996</v>
      </c>
      <c r="AD43" s="5">
        <v>2.2999999999999998</v>
      </c>
      <c r="AE43" s="192" t="s">
        <v>718</v>
      </c>
    </row>
    <row r="44" spans="1:31" ht="68.25" customHeight="1" x14ac:dyDescent="0.25">
      <c r="A44" s="325">
        <v>41426</v>
      </c>
      <c r="B44" s="325">
        <v>41427</v>
      </c>
      <c r="C44" s="13" t="s">
        <v>721</v>
      </c>
      <c r="D44" s="2">
        <v>114</v>
      </c>
      <c r="E44" s="2">
        <v>75</v>
      </c>
      <c r="F44" s="3">
        <v>41</v>
      </c>
      <c r="G44" s="7" t="s">
        <v>715</v>
      </c>
      <c r="H44" s="9" t="s">
        <v>714</v>
      </c>
      <c r="I44" s="3">
        <v>2</v>
      </c>
      <c r="J44" s="24"/>
      <c r="K44" s="23" t="s">
        <v>695</v>
      </c>
      <c r="L44" s="4">
        <v>10</v>
      </c>
      <c r="M44" s="4">
        <v>250</v>
      </c>
      <c r="N44" s="24"/>
      <c r="O44" s="4"/>
      <c r="P44" s="245"/>
      <c r="Q44" s="142" t="s">
        <v>45</v>
      </c>
      <c r="R44" s="142" t="s">
        <v>84</v>
      </c>
      <c r="S44" s="142" t="s">
        <v>47</v>
      </c>
      <c r="T44" s="142">
        <v>-5</v>
      </c>
      <c r="U44" s="142" t="s">
        <v>62</v>
      </c>
      <c r="V44" s="143">
        <v>1</v>
      </c>
      <c r="W44" s="142" t="s">
        <v>139</v>
      </c>
      <c r="X44" s="142">
        <v>1000</v>
      </c>
      <c r="Y44" s="142" t="s">
        <v>87</v>
      </c>
      <c r="Z44" s="215" t="s">
        <v>475</v>
      </c>
      <c r="AA44" s="142">
        <v>0</v>
      </c>
      <c r="AB44" s="225">
        <v>0.21179999999999999</v>
      </c>
      <c r="AC44" s="5">
        <v>0.99629999999999996</v>
      </c>
      <c r="AD44" s="5">
        <v>2.2999999999999998</v>
      </c>
      <c r="AE44" s="192" t="s">
        <v>720</v>
      </c>
    </row>
    <row r="45" spans="1:31" ht="68.25" customHeight="1" x14ac:dyDescent="0.25">
      <c r="A45" s="325">
        <v>41426</v>
      </c>
      <c r="B45" s="325">
        <v>41427</v>
      </c>
      <c r="C45" s="13" t="s">
        <v>724</v>
      </c>
      <c r="D45" s="2">
        <v>115</v>
      </c>
      <c r="E45" s="2">
        <v>53</v>
      </c>
      <c r="F45" s="3">
        <v>26</v>
      </c>
      <c r="G45" s="7" t="s">
        <v>380</v>
      </c>
      <c r="H45" s="9" t="s">
        <v>714</v>
      </c>
      <c r="I45" s="3">
        <v>2</v>
      </c>
      <c r="J45" s="24"/>
      <c r="K45" s="23" t="s">
        <v>726</v>
      </c>
      <c r="L45" s="4"/>
      <c r="M45" s="4">
        <v>50</v>
      </c>
      <c r="N45" s="24"/>
      <c r="O45" s="4"/>
      <c r="P45" s="245"/>
      <c r="Q45" s="142" t="s">
        <v>45</v>
      </c>
      <c r="R45" s="142" t="s">
        <v>84</v>
      </c>
      <c r="S45" s="142" t="s">
        <v>47</v>
      </c>
      <c r="T45" s="142">
        <v>-5</v>
      </c>
      <c r="U45" s="142" t="s">
        <v>62</v>
      </c>
      <c r="V45" s="143">
        <v>1</v>
      </c>
      <c r="W45" s="142" t="s">
        <v>139</v>
      </c>
      <c r="X45" s="142">
        <v>1000</v>
      </c>
      <c r="Y45" s="142" t="s">
        <v>87</v>
      </c>
      <c r="Z45" s="215" t="s">
        <v>475</v>
      </c>
      <c r="AA45" s="142">
        <v>27</v>
      </c>
      <c r="AB45" s="225">
        <v>0.21179999999999999</v>
      </c>
      <c r="AC45" s="5">
        <v>0.99629999999999996</v>
      </c>
      <c r="AD45" s="5">
        <v>2.2999999999999998</v>
      </c>
      <c r="AE45" s="192" t="s">
        <v>723</v>
      </c>
    </row>
    <row r="46" spans="1:31" ht="68.25" customHeight="1" x14ac:dyDescent="0.25">
      <c r="A46" s="325">
        <v>41426</v>
      </c>
      <c r="B46" s="325">
        <v>41427</v>
      </c>
      <c r="C46" s="13" t="s">
        <v>729</v>
      </c>
      <c r="D46" s="2">
        <v>116</v>
      </c>
      <c r="E46" s="2" t="s">
        <v>725</v>
      </c>
      <c r="F46" s="3">
        <v>26</v>
      </c>
      <c r="G46" s="7" t="s">
        <v>380</v>
      </c>
      <c r="H46" s="9" t="s">
        <v>714</v>
      </c>
      <c r="I46" s="3">
        <v>2</v>
      </c>
      <c r="J46" s="24"/>
      <c r="K46" s="23" t="s">
        <v>727</v>
      </c>
      <c r="L46" s="4"/>
      <c r="M46" s="4">
        <v>50</v>
      </c>
      <c r="N46" s="24"/>
      <c r="O46" s="4"/>
      <c r="P46" s="245"/>
      <c r="Q46" s="142" t="s">
        <v>45</v>
      </c>
      <c r="R46" s="142" t="s">
        <v>84</v>
      </c>
      <c r="S46" s="142" t="s">
        <v>47</v>
      </c>
      <c r="T46" s="142">
        <v>-5</v>
      </c>
      <c r="U46" s="142" t="s">
        <v>62</v>
      </c>
      <c r="V46" s="143">
        <v>1</v>
      </c>
      <c r="W46" s="142" t="s">
        <v>139</v>
      </c>
      <c r="X46" s="142">
        <v>1000</v>
      </c>
      <c r="Y46" s="142" t="s">
        <v>87</v>
      </c>
      <c r="Z46" s="215" t="s">
        <v>475</v>
      </c>
      <c r="AA46" s="142">
        <v>120</v>
      </c>
      <c r="AB46" s="225">
        <v>0.21179999999999999</v>
      </c>
      <c r="AC46" s="5">
        <v>0.99629999999999996</v>
      </c>
      <c r="AD46" s="5">
        <v>2.2999999999999998</v>
      </c>
      <c r="AE46" s="192" t="s">
        <v>728</v>
      </c>
    </row>
    <row r="47" spans="1:31" x14ac:dyDescent="0.2">
      <c r="D47" t="s">
        <v>506</v>
      </c>
    </row>
    <row r="48" spans="1:31" x14ac:dyDescent="0.2">
      <c r="D48" s="242" t="s">
        <v>505</v>
      </c>
    </row>
    <row r="49" spans="4:4" x14ac:dyDescent="0.2">
      <c r="D49" t="s">
        <v>521</v>
      </c>
    </row>
    <row r="50" spans="4:4" x14ac:dyDescent="0.2">
      <c r="D50" t="s">
        <v>522</v>
      </c>
    </row>
    <row r="51" spans="4:4" x14ac:dyDescent="0.2">
      <c r="D51" t="s">
        <v>524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activeCell="D20" sqref="D20"/>
    </sheetView>
  </sheetViews>
  <sheetFormatPr defaultRowHeight="12.75" x14ac:dyDescent="0.2"/>
  <cols>
    <col min="1" max="1" width="27" customWidth="1"/>
    <col min="2" max="2" width="31" customWidth="1"/>
  </cols>
  <sheetData>
    <row r="1" spans="1:2" x14ac:dyDescent="0.2">
      <c r="A1" s="344" t="s">
        <v>731</v>
      </c>
      <c r="B1" s="344" t="s">
        <v>733</v>
      </c>
    </row>
    <row r="2" spans="1:2" x14ac:dyDescent="0.2">
      <c r="A2" s="2" t="s">
        <v>741</v>
      </c>
      <c r="B2" s="2" t="s">
        <v>739</v>
      </c>
    </row>
    <row r="3" spans="1:2" x14ac:dyDescent="0.2">
      <c r="A3" s="2" t="s">
        <v>742</v>
      </c>
      <c r="B3" s="2" t="s">
        <v>740</v>
      </c>
    </row>
    <row r="4" spans="1:2" x14ac:dyDescent="0.2">
      <c r="A4" s="2" t="s">
        <v>743</v>
      </c>
      <c r="B4" s="2" t="s">
        <v>744</v>
      </c>
    </row>
    <row r="5" spans="1:2" ht="5.25" customHeight="1" x14ac:dyDescent="0.2">
      <c r="A5" s="345"/>
      <c r="B5" s="345"/>
    </row>
    <row r="6" spans="1:2" x14ac:dyDescent="0.2">
      <c r="A6" s="2">
        <v>20130709</v>
      </c>
      <c r="B6" s="2" t="s">
        <v>738</v>
      </c>
    </row>
    <row r="7" spans="1:2" x14ac:dyDescent="0.2">
      <c r="A7" s="2">
        <v>20140213</v>
      </c>
      <c r="B7" s="2" t="s">
        <v>734</v>
      </c>
    </row>
    <row r="8" spans="1:2" x14ac:dyDescent="0.2">
      <c r="A8" s="2">
        <v>20140215</v>
      </c>
      <c r="B8" s="2" t="s">
        <v>734</v>
      </c>
    </row>
    <row r="9" spans="1:2" x14ac:dyDescent="0.2">
      <c r="A9" s="2">
        <v>20140220</v>
      </c>
      <c r="B9" s="2" t="s">
        <v>734</v>
      </c>
    </row>
    <row r="10" spans="1:2" x14ac:dyDescent="0.2">
      <c r="A10" s="2">
        <v>20140221</v>
      </c>
      <c r="B10" s="2" t="s">
        <v>734</v>
      </c>
    </row>
    <row r="11" spans="1:2" x14ac:dyDescent="0.2">
      <c r="A11" s="2">
        <v>20140327</v>
      </c>
      <c r="B11" s="2" t="s">
        <v>735</v>
      </c>
    </row>
    <row r="12" spans="1:2" x14ac:dyDescent="0.2">
      <c r="A12" s="2">
        <v>20140328</v>
      </c>
      <c r="B12" s="2" t="s">
        <v>736</v>
      </c>
    </row>
    <row r="13" spans="1:2" x14ac:dyDescent="0.2">
      <c r="A13" s="2">
        <v>20140401</v>
      </c>
      <c r="B13" s="2" t="s">
        <v>735</v>
      </c>
    </row>
    <row r="14" spans="1:2" x14ac:dyDescent="0.2">
      <c r="A14" s="2">
        <v>20140410</v>
      </c>
      <c r="B14" s="2" t="s">
        <v>735</v>
      </c>
    </row>
    <row r="15" spans="1:2" x14ac:dyDescent="0.2">
      <c r="A15" s="2">
        <v>20140411</v>
      </c>
      <c r="B15" s="2" t="s">
        <v>737</v>
      </c>
    </row>
    <row r="16" spans="1:2" x14ac:dyDescent="0.2">
      <c r="A16" s="2">
        <v>20140614</v>
      </c>
      <c r="B16" s="2" t="s">
        <v>737</v>
      </c>
    </row>
    <row r="17" spans="1:2" x14ac:dyDescent="0.2">
      <c r="A17" s="2">
        <v>20140617</v>
      </c>
      <c r="B17" s="2" t="s">
        <v>737</v>
      </c>
    </row>
    <row r="18" spans="1:2" x14ac:dyDescent="0.2">
      <c r="A18" s="2">
        <v>20140624</v>
      </c>
      <c r="B18" s="2" t="s">
        <v>735</v>
      </c>
    </row>
    <row r="19" spans="1:2" x14ac:dyDescent="0.2">
      <c r="A19" s="2">
        <v>20140625</v>
      </c>
      <c r="B19" s="2" t="s">
        <v>737</v>
      </c>
    </row>
    <row r="20" spans="1:2" x14ac:dyDescent="0.2">
      <c r="A20" s="2">
        <v>20140627</v>
      </c>
      <c r="B20" s="2" t="s">
        <v>737</v>
      </c>
    </row>
    <row r="21" spans="1:2" x14ac:dyDescent="0.2">
      <c r="A21" s="2">
        <v>20140628</v>
      </c>
      <c r="B21" s="2" t="s">
        <v>737</v>
      </c>
    </row>
    <row r="22" spans="1:2" x14ac:dyDescent="0.2">
      <c r="A22" s="2">
        <v>20140703</v>
      </c>
      <c r="B22" s="2" t="s">
        <v>738</v>
      </c>
    </row>
    <row r="23" spans="1:2" x14ac:dyDescent="0.2">
      <c r="A23" s="2">
        <v>20140704</v>
      </c>
      <c r="B23" s="2" t="s">
        <v>738</v>
      </c>
    </row>
    <row r="24" spans="1:2" x14ac:dyDescent="0.2">
      <c r="A24" s="2">
        <v>20140706</v>
      </c>
      <c r="B24" s="2" t="s">
        <v>734</v>
      </c>
    </row>
    <row r="25" spans="1:2" x14ac:dyDescent="0.2">
      <c r="A25" s="2">
        <v>20140708</v>
      </c>
      <c r="B25" s="2" t="s">
        <v>737</v>
      </c>
    </row>
    <row r="26" spans="1:2" x14ac:dyDescent="0.2">
      <c r="A26" s="2">
        <v>20140709</v>
      </c>
      <c r="B26" s="2" t="s">
        <v>737</v>
      </c>
    </row>
    <row r="27" spans="1:2" x14ac:dyDescent="0.2">
      <c r="A27" s="2">
        <v>20140710</v>
      </c>
      <c r="B27" s="2" t="s">
        <v>737</v>
      </c>
    </row>
    <row r="28" spans="1:2" x14ac:dyDescent="0.2">
      <c r="A28" s="2">
        <v>20140712</v>
      </c>
      <c r="B28" s="2" t="s">
        <v>734</v>
      </c>
    </row>
    <row r="29" spans="1:2" x14ac:dyDescent="0.2">
      <c r="A29" s="2">
        <v>20140715</v>
      </c>
      <c r="B29" s="2" t="s">
        <v>734</v>
      </c>
    </row>
    <row r="30" spans="1:2" x14ac:dyDescent="0.2">
      <c r="A30" s="2">
        <v>20140716</v>
      </c>
      <c r="B30" s="2" t="s">
        <v>734</v>
      </c>
    </row>
    <row r="31" spans="1:2" x14ac:dyDescent="0.2">
      <c r="A31" s="2">
        <v>20140722</v>
      </c>
      <c r="B31" s="2" t="s">
        <v>737</v>
      </c>
    </row>
    <row r="32" spans="1:2" x14ac:dyDescent="0.2">
      <c r="A32" s="2">
        <v>20140723</v>
      </c>
      <c r="B32" s="2" t="s">
        <v>737</v>
      </c>
    </row>
    <row r="33" spans="1:2" x14ac:dyDescent="0.2">
      <c r="A33" s="2">
        <v>20140724</v>
      </c>
      <c r="B33" s="2" t="s">
        <v>737</v>
      </c>
    </row>
    <row r="34" spans="1:2" x14ac:dyDescent="0.2">
      <c r="A34" s="2">
        <v>20140725</v>
      </c>
      <c r="B34" s="2" t="s">
        <v>735</v>
      </c>
    </row>
    <row r="35" spans="1:2" x14ac:dyDescent="0.2">
      <c r="A35" s="2">
        <v>20140729</v>
      </c>
      <c r="B35" s="2" t="s">
        <v>737</v>
      </c>
    </row>
    <row r="36" spans="1:2" x14ac:dyDescent="0.2">
      <c r="A36" s="2">
        <v>20140730</v>
      </c>
      <c r="B36" s="2" t="s">
        <v>737</v>
      </c>
    </row>
    <row r="37" spans="1:2" x14ac:dyDescent="0.2">
      <c r="A37" s="2">
        <v>20140731</v>
      </c>
      <c r="B37" s="2" t="s">
        <v>737</v>
      </c>
    </row>
    <row r="38" spans="1:2" x14ac:dyDescent="0.2">
      <c r="A38" s="2">
        <v>20140801</v>
      </c>
      <c r="B38" s="2" t="s">
        <v>737</v>
      </c>
    </row>
    <row r="39" spans="1:2" x14ac:dyDescent="0.2">
      <c r="A39" s="2">
        <v>20140802</v>
      </c>
      <c r="B39" s="2" t="s">
        <v>737</v>
      </c>
    </row>
    <row r="40" spans="1:2" x14ac:dyDescent="0.2">
      <c r="A40" s="2">
        <v>20140805</v>
      </c>
      <c r="B40" s="2" t="s">
        <v>737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
  <sheetViews>
    <sheetView workbookViewId="0">
      <selection activeCell="A12" sqref="A12"/>
    </sheetView>
  </sheetViews>
  <sheetFormatPr defaultRowHeight="12.75" x14ac:dyDescent="0.2"/>
  <cols>
    <col min="1" max="1" width="12.42578125" customWidth="1"/>
  </cols>
  <sheetData>
    <row r="1" spans="1:30" s="140" customFormat="1" ht="166.5" thickBot="1" x14ac:dyDescent="0.25">
      <c r="A1" s="130" t="s">
        <v>52</v>
      </c>
      <c r="B1" s="131" t="s">
        <v>118</v>
      </c>
      <c r="C1" s="130" t="s">
        <v>32</v>
      </c>
      <c r="D1" s="132" t="s">
        <v>2</v>
      </c>
      <c r="E1" s="132" t="s">
        <v>3</v>
      </c>
      <c r="F1" s="133" t="s">
        <v>1</v>
      </c>
      <c r="G1" s="134" t="s">
        <v>4</v>
      </c>
      <c r="H1" s="132" t="s">
        <v>6</v>
      </c>
      <c r="I1" s="134" t="s">
        <v>7</v>
      </c>
      <c r="J1" s="135" t="s">
        <v>8</v>
      </c>
      <c r="K1" s="136" t="s">
        <v>12</v>
      </c>
      <c r="L1" s="137" t="s">
        <v>57</v>
      </c>
      <c r="M1" s="138" t="s">
        <v>9</v>
      </c>
      <c r="N1" s="136" t="s">
        <v>10</v>
      </c>
      <c r="O1" s="136" t="s">
        <v>11</v>
      </c>
      <c r="P1" s="146" t="s">
        <v>14</v>
      </c>
      <c r="Q1" s="146" t="s">
        <v>22</v>
      </c>
      <c r="R1" s="146" t="s">
        <v>23</v>
      </c>
      <c r="S1" s="146" t="s">
        <v>24</v>
      </c>
      <c r="T1" s="146" t="s">
        <v>25</v>
      </c>
      <c r="U1" s="146" t="s">
        <v>15</v>
      </c>
      <c r="V1" s="146" t="s">
        <v>16</v>
      </c>
      <c r="W1" s="146" t="s">
        <v>17</v>
      </c>
      <c r="X1" s="146" t="s">
        <v>26</v>
      </c>
      <c r="Y1" s="147" t="s">
        <v>18</v>
      </c>
      <c r="Z1" s="148" t="s">
        <v>19</v>
      </c>
      <c r="AA1" s="139" t="s">
        <v>56</v>
      </c>
      <c r="AB1" s="139" t="s">
        <v>55</v>
      </c>
      <c r="AC1" s="139" t="s">
        <v>54</v>
      </c>
      <c r="AD1" s="130" t="s">
        <v>21</v>
      </c>
    </row>
    <row r="2" spans="1:30" x14ac:dyDescent="0.2">
      <c r="A2" t="s">
        <v>732</v>
      </c>
    </row>
    <row r="3" spans="1:30" s="336" customFormat="1" ht="6" customHeight="1" x14ac:dyDescent="0.2"/>
    <row r="4" spans="1:30" ht="68.25" customHeight="1" x14ac:dyDescent="0.25">
      <c r="A4" s="325">
        <v>41396</v>
      </c>
      <c r="B4" s="13" t="s">
        <v>681</v>
      </c>
      <c r="C4" s="2">
        <v>100</v>
      </c>
      <c r="D4" s="2">
        <v>89</v>
      </c>
      <c r="E4" s="3">
        <v>44</v>
      </c>
      <c r="F4" s="7" t="s">
        <v>660</v>
      </c>
      <c r="G4" s="9" t="s">
        <v>661</v>
      </c>
      <c r="H4" s="3">
        <v>2</v>
      </c>
      <c r="I4" s="24" t="s">
        <v>651</v>
      </c>
      <c r="J4" s="23" t="s">
        <v>662</v>
      </c>
      <c r="K4" s="4" t="s">
        <v>663</v>
      </c>
      <c r="L4" s="4">
        <v>50</v>
      </c>
      <c r="M4" s="24" t="s">
        <v>665</v>
      </c>
      <c r="N4" s="4"/>
      <c r="O4" s="245"/>
      <c r="P4" s="142" t="s">
        <v>45</v>
      </c>
      <c r="Q4" s="142" t="s">
        <v>46</v>
      </c>
      <c r="R4" s="142" t="s">
        <v>47</v>
      </c>
      <c r="S4" s="142">
        <v>-5</v>
      </c>
      <c r="T4" s="142" t="s">
        <v>664</v>
      </c>
      <c r="U4" s="143" t="s">
        <v>581</v>
      </c>
      <c r="V4" s="142" t="s">
        <v>122</v>
      </c>
      <c r="W4" s="142">
        <v>1600</v>
      </c>
      <c r="X4" s="142" t="s">
        <v>578</v>
      </c>
      <c r="Y4" s="215" t="s">
        <v>455</v>
      </c>
      <c r="Z4" s="142">
        <v>135</v>
      </c>
      <c r="AA4" s="225">
        <v>0.1605</v>
      </c>
      <c r="AB4" s="5">
        <v>0.98199999999999998</v>
      </c>
      <c r="AC4" s="5">
        <v>3.4</v>
      </c>
      <c r="AD4" s="192" t="s">
        <v>666</v>
      </c>
    </row>
    <row r="5" spans="1:30" ht="68.25" customHeight="1" x14ac:dyDescent="0.25">
      <c r="A5" s="325">
        <v>41396</v>
      </c>
      <c r="B5" s="13" t="s">
        <v>682</v>
      </c>
      <c r="C5" s="2">
        <v>101</v>
      </c>
      <c r="D5" s="2">
        <v>95</v>
      </c>
      <c r="E5" s="3">
        <v>44</v>
      </c>
      <c r="F5" s="318" t="s">
        <v>669</v>
      </c>
      <c r="G5" s="9" t="s">
        <v>661</v>
      </c>
      <c r="H5" s="3">
        <v>2</v>
      </c>
      <c r="I5" s="24" t="s">
        <v>651</v>
      </c>
      <c r="J5" s="23" t="s">
        <v>667</v>
      </c>
      <c r="K5" s="4" t="s">
        <v>668</v>
      </c>
      <c r="L5" s="4">
        <v>250</v>
      </c>
      <c r="M5" s="24" t="s">
        <v>62</v>
      </c>
      <c r="N5" s="4"/>
      <c r="O5" s="245" t="s">
        <v>62</v>
      </c>
      <c r="P5" s="142" t="s">
        <v>45</v>
      </c>
      <c r="Q5" s="142" t="s">
        <v>46</v>
      </c>
      <c r="R5" s="142" t="s">
        <v>47</v>
      </c>
      <c r="S5" s="142">
        <v>-5</v>
      </c>
      <c r="T5" s="142"/>
      <c r="U5" s="143" t="s">
        <v>581</v>
      </c>
      <c r="V5" s="142" t="s">
        <v>122</v>
      </c>
      <c r="W5" s="142">
        <v>1600</v>
      </c>
      <c r="X5" s="142" t="s">
        <v>578</v>
      </c>
      <c r="Y5" s="215" t="s">
        <v>455</v>
      </c>
      <c r="Z5" s="142">
        <v>0</v>
      </c>
      <c r="AA5" s="225">
        <v>0.1605</v>
      </c>
      <c r="AB5" s="5">
        <v>0.98199999999999998</v>
      </c>
      <c r="AC5" s="5">
        <v>3.4</v>
      </c>
      <c r="AD5" s="192" t="s">
        <v>670</v>
      </c>
    </row>
    <row r="6" spans="1:30" ht="68.25" customHeight="1" x14ac:dyDescent="0.25">
      <c r="A6" s="325">
        <v>41396</v>
      </c>
      <c r="B6" s="13" t="s">
        <v>683</v>
      </c>
      <c r="C6" s="2">
        <v>102</v>
      </c>
      <c r="D6" s="2">
        <v>92</v>
      </c>
      <c r="E6" s="3">
        <v>40</v>
      </c>
      <c r="F6" s="28" t="s">
        <v>594</v>
      </c>
      <c r="G6" s="9" t="s">
        <v>661</v>
      </c>
      <c r="H6" s="3">
        <v>2</v>
      </c>
      <c r="I6" s="24" t="s">
        <v>651</v>
      </c>
      <c r="J6" s="23" t="s">
        <v>671</v>
      </c>
      <c r="K6" s="4" t="s">
        <v>672</v>
      </c>
      <c r="L6" s="4">
        <v>250</v>
      </c>
      <c r="M6" s="24"/>
      <c r="N6" s="4" t="s">
        <v>62</v>
      </c>
      <c r="O6" s="245" t="s">
        <v>62</v>
      </c>
      <c r="P6" s="142" t="s">
        <v>45</v>
      </c>
      <c r="Q6" s="142" t="s">
        <v>46</v>
      </c>
      <c r="R6" s="142" t="s">
        <v>47</v>
      </c>
      <c r="S6" s="142">
        <v>-5</v>
      </c>
      <c r="T6" s="142" t="s">
        <v>50</v>
      </c>
      <c r="U6" s="143" t="s">
        <v>581</v>
      </c>
      <c r="V6" s="142" t="s">
        <v>122</v>
      </c>
      <c r="W6" s="142">
        <v>1600</v>
      </c>
      <c r="X6" s="142" t="s">
        <v>578</v>
      </c>
      <c r="Y6" s="215" t="s">
        <v>475</v>
      </c>
      <c r="Z6" s="142">
        <v>81</v>
      </c>
      <c r="AA6" s="225">
        <v>0.16300000000000001</v>
      </c>
      <c r="AB6" s="5">
        <v>0.98199999999999998</v>
      </c>
      <c r="AC6" s="5">
        <v>3.4</v>
      </c>
      <c r="AD6" s="192" t="s">
        <v>673</v>
      </c>
    </row>
    <row r="7" spans="1:30" ht="68.25" customHeight="1" x14ac:dyDescent="0.25">
      <c r="A7" s="325">
        <v>41396</v>
      </c>
      <c r="B7" s="13" t="s">
        <v>683</v>
      </c>
      <c r="C7" s="2">
        <v>103</v>
      </c>
      <c r="D7" s="2">
        <v>78</v>
      </c>
      <c r="E7" s="3">
        <v>42</v>
      </c>
      <c r="F7" s="7" t="s">
        <v>496</v>
      </c>
      <c r="G7" s="9" t="s">
        <v>661</v>
      </c>
      <c r="H7" s="3">
        <v>2</v>
      </c>
      <c r="I7" s="24" t="s">
        <v>677</v>
      </c>
      <c r="J7" s="23" t="s">
        <v>671</v>
      </c>
      <c r="K7" s="4"/>
      <c r="L7" s="12" t="s">
        <v>676</v>
      </c>
      <c r="M7" s="24"/>
      <c r="N7" s="4"/>
      <c r="O7" s="245" t="s">
        <v>62</v>
      </c>
      <c r="P7" s="142" t="s">
        <v>45</v>
      </c>
      <c r="Q7" s="142" t="s">
        <v>84</v>
      </c>
      <c r="R7" s="142" t="s">
        <v>47</v>
      </c>
      <c r="S7" s="142">
        <v>-5</v>
      </c>
      <c r="T7" s="142" t="s">
        <v>62</v>
      </c>
      <c r="U7" s="143">
        <v>1</v>
      </c>
      <c r="V7" s="142" t="s">
        <v>139</v>
      </c>
      <c r="W7" s="142">
        <v>1000</v>
      </c>
      <c r="X7" s="142" t="s">
        <v>87</v>
      </c>
      <c r="Y7" s="215" t="s">
        <v>475</v>
      </c>
      <c r="Z7" s="142">
        <v>328</v>
      </c>
      <c r="AA7" s="225">
        <v>0.16300000000000001</v>
      </c>
      <c r="AB7" s="5">
        <v>0.98199999999999998</v>
      </c>
      <c r="AC7" s="5">
        <v>3.4</v>
      </c>
      <c r="AD7" s="192" t="s">
        <v>675</v>
      </c>
    </row>
    <row r="10" spans="1:30" x14ac:dyDescent="0.2">
      <c r="A10" t="s">
        <v>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 run matrix</vt:lpstr>
      <vt:lpstr>2012</vt:lpstr>
      <vt:lpstr>2013</vt:lpstr>
      <vt:lpstr>Data without TP</vt:lpstr>
      <vt:lpstr>TP without Data</vt:lpstr>
    </vt:vector>
  </TitlesOfParts>
  <Company>NASA/ODIN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L. Olson</dc:creator>
  <cp:lastModifiedBy>cbpayne</cp:lastModifiedBy>
  <cp:lastPrinted>2013-04-11T20:30:05Z</cp:lastPrinted>
  <dcterms:created xsi:type="dcterms:W3CDTF">2012-03-23T14:04:35Z</dcterms:created>
  <dcterms:modified xsi:type="dcterms:W3CDTF">2016-01-13T21:28:14Z</dcterms:modified>
</cp:coreProperties>
</file>